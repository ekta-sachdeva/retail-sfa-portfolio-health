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Telemetry" sheetId="1" state="visible" r:id="rId3"/>
    <sheet name="Health_Model" sheetId="2" state="visible" r:id="rId4"/>
    <sheet name="NRR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<sst xmlns="http://schemas.openxmlformats.org/spreadsheetml/2006/main" count="198" uniqueCount="144">
  <si>
    <t xml:space="preserve">Account_ID</t>
  </si>
  <si>
    <t xml:space="preserve">Distributor_Name</t>
  </si>
  <si>
    <t xml:space="preserve">Annual_Recurring_Revenue_USD</t>
  </si>
  <si>
    <t xml:space="preserve">Licensed_Field_Reps</t>
  </si>
  <si>
    <t xml:space="preserve">Active_Reps_Last_30_Days_Pct</t>
  </si>
  <si>
    <t xml:space="preserve">Weekly_Order_Volume_Trend_Pct</t>
  </si>
  <si>
    <t xml:space="preserve">Open_Support_Tickets</t>
  </si>
  <si>
    <t xml:space="preserve">Executive_Sponsor_Status</t>
  </si>
  <si>
    <t xml:space="preserve">ID-1001</t>
  </si>
  <si>
    <t xml:space="preserve">Shree Balaji Distributors</t>
  </si>
  <si>
    <t xml:space="preserve">Passive</t>
  </si>
  <si>
    <t xml:space="preserve">ID-1002</t>
  </si>
  <si>
    <t xml:space="preserve">Kumar Trading Co</t>
  </si>
  <si>
    <t xml:space="preserve">Engaged</t>
  </si>
  <si>
    <t xml:space="preserve">ID-1003</t>
  </si>
  <si>
    <t xml:space="preserve">Apex Retail Supply</t>
  </si>
  <si>
    <t xml:space="preserve">ID-1004</t>
  </si>
  <si>
    <t xml:space="preserve">Ganpati Wholesale Mart</t>
  </si>
  <si>
    <t xml:space="preserve">ID-1005</t>
  </si>
  <si>
    <t xml:space="preserve">Nova Consumer Goods</t>
  </si>
  <si>
    <t xml:space="preserve">ID-1006</t>
  </si>
  <si>
    <t xml:space="preserve">Sunrise Beverage Distribution</t>
  </si>
  <si>
    <t xml:space="preserve">ID-1007</t>
  </si>
  <si>
    <t xml:space="preserve">Metro FMCG Partners</t>
  </si>
  <si>
    <t xml:space="preserve">ID-1008</t>
  </si>
  <si>
    <t xml:space="preserve">Veer Sales Agency</t>
  </si>
  <si>
    <t xml:space="preserve">ID-1009</t>
  </si>
  <si>
    <t xml:space="preserve">Gulf Coast Snack Distributors</t>
  </si>
  <si>
    <t xml:space="preserve">ID-1010</t>
  </si>
  <si>
    <t xml:space="preserve">Orion Pantry Supply</t>
  </si>
  <si>
    <t xml:space="preserve">None</t>
  </si>
  <si>
    <t xml:space="preserve">ID-1011</t>
  </si>
  <si>
    <t xml:space="preserve">Rajdhani Enterprises</t>
  </si>
  <si>
    <t xml:space="preserve">ID-1012</t>
  </si>
  <si>
    <t xml:space="preserve">BlueRiver Foods Distribution</t>
  </si>
  <si>
    <t xml:space="preserve">ID-1013</t>
  </si>
  <si>
    <t xml:space="preserve">Patel &amp; Sons Wholesale</t>
  </si>
  <si>
    <t xml:space="preserve">ID-1014</t>
  </si>
  <si>
    <t xml:space="preserve">Crescent Consumer Network</t>
  </si>
  <si>
    <t xml:space="preserve">ID-1015</t>
  </si>
  <si>
    <t xml:space="preserve">Sahara Retail Logistics</t>
  </si>
  <si>
    <t xml:space="preserve">ID-1016</t>
  </si>
  <si>
    <t xml:space="preserve">Pinnacle Dairy Distributors</t>
  </si>
  <si>
    <t xml:space="preserve">ID-1017</t>
  </si>
  <si>
    <t xml:space="preserve">Mahalaxmi Agencies</t>
  </si>
  <si>
    <t xml:space="preserve">ID-1018</t>
  </si>
  <si>
    <t xml:space="preserve">Zenith Household Goods</t>
  </si>
  <si>
    <t xml:space="preserve">ID-1019</t>
  </si>
  <si>
    <t xml:space="preserve">Alpine Fresh Distribution</t>
  </si>
  <si>
    <t xml:space="preserve">ID-1020</t>
  </si>
  <si>
    <t xml:space="preserve">Deccan Retail Partners</t>
  </si>
  <si>
    <t xml:space="preserve">ID-1021</t>
  </si>
  <si>
    <t xml:space="preserve">Silverline Beverages</t>
  </si>
  <si>
    <t xml:space="preserve">ID-1022</t>
  </si>
  <si>
    <t xml:space="preserve">Anand Marketing Co</t>
  </si>
  <si>
    <t xml:space="preserve">ID-1023</t>
  </si>
  <si>
    <t xml:space="preserve">Trident Consumer Supply</t>
  </si>
  <si>
    <t xml:space="preserve">ID-1024</t>
  </si>
  <si>
    <t xml:space="preserve">Ravi Distributors Pvt Ltd</t>
  </si>
  <si>
    <t xml:space="preserve">ID-1025</t>
  </si>
  <si>
    <t xml:space="preserve">Harbour Point Wholesale</t>
  </si>
  <si>
    <t xml:space="preserve">Champion Departed</t>
  </si>
  <si>
    <t xml:space="preserve">ID-1026</t>
  </si>
  <si>
    <t xml:space="preserve">Evergreen Staples Co</t>
  </si>
  <si>
    <t xml:space="preserve">ID-1027</t>
  </si>
  <si>
    <t xml:space="preserve">Kohinoor Trading House</t>
  </si>
  <si>
    <t xml:space="preserve">ID-1028</t>
  </si>
  <si>
    <t xml:space="preserve">Summit Snacks Distribution</t>
  </si>
  <si>
    <t xml:space="preserve">ID-1029</t>
  </si>
  <si>
    <t xml:space="preserve">Nandi Consumer Products</t>
  </si>
  <si>
    <t xml:space="preserve">ID-1030</t>
  </si>
  <si>
    <t xml:space="preserve">Pacific Rim Grocers</t>
  </si>
  <si>
    <t xml:space="preserve">ID-1031</t>
  </si>
  <si>
    <t xml:space="preserve">Ambika Sales Corporation</t>
  </si>
  <si>
    <t xml:space="preserve">ID-1032</t>
  </si>
  <si>
    <t xml:space="preserve">Ironwood Retail Supply</t>
  </si>
  <si>
    <t xml:space="preserve">ID-1033</t>
  </si>
  <si>
    <t xml:space="preserve">Golden Leaf Distributors</t>
  </si>
  <si>
    <t xml:space="preserve">ID-1034</t>
  </si>
  <si>
    <t xml:space="preserve">Sagar Wholesale Network</t>
  </si>
  <si>
    <t xml:space="preserve">ID-1035</t>
  </si>
  <si>
    <t xml:space="preserve">Cobalt Consumer Logistics</t>
  </si>
  <si>
    <t xml:space="preserve">ID-1036</t>
  </si>
  <si>
    <t xml:space="preserve">Vishwas Trading Co</t>
  </si>
  <si>
    <t xml:space="preserve">ID-1037</t>
  </si>
  <si>
    <t xml:space="preserve">Northgate Provisions</t>
  </si>
  <si>
    <t xml:space="preserve">ID-1038</t>
  </si>
  <si>
    <t xml:space="preserve">Madhav Retail Agencies</t>
  </si>
  <si>
    <t xml:space="preserve">ID-1039</t>
  </si>
  <si>
    <t xml:space="preserve">Everest Beverage Partners</t>
  </si>
  <si>
    <t xml:space="preserve">ID-1040</t>
  </si>
  <si>
    <t xml:space="preserve">Lotus Household Distribution</t>
  </si>
  <si>
    <t xml:space="preserve">ID-1041</t>
  </si>
  <si>
    <t xml:space="preserve">Prime Meridian Wholesale</t>
  </si>
  <si>
    <t xml:space="preserve">ID-1042</t>
  </si>
  <si>
    <t xml:space="preserve">Jai Hind Distributors</t>
  </si>
  <si>
    <t xml:space="preserve">ID-1043</t>
  </si>
  <si>
    <t xml:space="preserve">Redstone Grocery Supply</t>
  </si>
  <si>
    <t xml:space="preserve">ID-1044</t>
  </si>
  <si>
    <t xml:space="preserve">Saraswati Trading Network</t>
  </si>
  <si>
    <t xml:space="preserve">ID-1045</t>
  </si>
  <si>
    <t xml:space="preserve">Coastline FMCG Partners</t>
  </si>
  <si>
    <t xml:space="preserve">ID-1046</t>
  </si>
  <si>
    <t xml:space="preserve">Vardhman Sales Co</t>
  </si>
  <si>
    <t xml:space="preserve">ID-1047</t>
  </si>
  <si>
    <t xml:space="preserve">Bright Valley Distributors</t>
  </si>
  <si>
    <t xml:space="preserve">ID-1048</t>
  </si>
  <si>
    <t xml:space="preserve">Onkar Retail Supply</t>
  </si>
  <si>
    <t xml:space="preserve">ID-1049</t>
  </si>
  <si>
    <t xml:space="preserve">Stonebridge Consumer Goods</t>
  </si>
  <si>
    <t xml:space="preserve">ID-1050</t>
  </si>
  <si>
    <t xml:space="preserve">Yashoda Wholesale Mart</t>
  </si>
  <si>
    <t xml:space="preserve">Adoption_Points</t>
  </si>
  <si>
    <t xml:space="preserve">Trend_Points</t>
  </si>
  <si>
    <t xml:space="preserve">Support_Points</t>
  </si>
  <si>
    <t xml:space="preserve">Sponsor_Points</t>
  </si>
  <si>
    <t xml:space="preserve">Health_Score</t>
  </si>
  <si>
    <t xml:space="preserve">Tier</t>
  </si>
  <si>
    <t xml:space="preserve">Churn_ARR</t>
  </si>
  <si>
    <t xml:space="preserve">Contraction_ARR</t>
  </si>
  <si>
    <t xml:space="preserve">Expansion_ARR</t>
  </si>
  <si>
    <t xml:space="preserve">Portfolio NRR &amp; Financial Summary</t>
  </si>
  <si>
    <t xml:space="preserve">Starting ARR</t>
  </si>
  <si>
    <t xml:space="preserve">Gross Churn ARR</t>
  </si>
  <si>
    <t xml:space="preserve">Contraction ARR</t>
  </si>
  <si>
    <t xml:space="preserve">Expansion ARR</t>
  </si>
  <si>
    <t xml:space="preserve">Ending ARR</t>
  </si>
  <si>
    <t xml:space="preserve">Net Revenue Retention (NRR)</t>
  </si>
  <si>
    <t xml:space="preserve">Gross Revenue Retention (GRR)</t>
  </si>
  <si>
    <t xml:space="preserve">Tier Breakdown (ARR)</t>
  </si>
  <si>
    <t xml:space="preserve">Green ARR</t>
  </si>
  <si>
    <t xml:space="preserve">Yellow ARR</t>
  </si>
  <si>
    <t xml:space="preserve">Red ARR</t>
  </si>
  <si>
    <t xml:space="preserve">Green Accounts</t>
  </si>
  <si>
    <t xml:space="preserve">Yellow Accounts</t>
  </si>
  <si>
    <t xml:space="preserve">Red Accounts</t>
  </si>
  <si>
    <t xml:space="preserve">Diagnostic Pivots</t>
  </si>
  <si>
    <t xml:space="preserve">Avg Adoption — Engaged Sponsor</t>
  </si>
  <si>
    <t xml:space="preserve">Avg Adoption — Non-Engaged Sponsor</t>
  </si>
  <si>
    <t xml:space="preserve">Sponsorship Adoption Gap (pts)</t>
  </si>
  <si>
    <t xml:space="preserve">ARR Below 70% Adoption Floor</t>
  </si>
  <si>
    <t xml:space="preserve">Accounts Below 70% Adoption Floor</t>
  </si>
  <si>
    <t xml:space="preserve">Logo Churn Rate</t>
  </si>
  <si>
    <t xml:space="preserve">Note: contraction (15%) and expansion (18%) rates are modelled assumptions, not observed renewal data. See documentation/excel_health_scoring_model.md §6 for full model limitations.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</si>
</sst>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"/>
    <numFmt numFmtId="167" formatCode="0.0%"/>
    <numFmt numFmtId="168" formatCode="0"/>
    <numFmt numFmtId="169" formatCode="0.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2"/>
    <col collapsed="false" customWidth="true" hidden="false" outlineLevel="0" max="8" min="8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n">
        <v>400000</v>
      </c>
      <c r="D2" s="3" t="n">
        <v>322</v>
      </c>
      <c r="E2" s="3" t="n">
        <v>62</v>
      </c>
      <c r="F2" s="3" t="n">
        <v>-8.3</v>
      </c>
      <c r="G2" s="3" t="n">
        <v>10</v>
      </c>
      <c r="H2" s="3" t="s">
        <v>10</v>
      </c>
    </row>
    <row r="3" customFormat="false" ht="15" hidden="false" customHeight="true" outlineLevel="0" collapsed="false">
      <c r="A3" s="3" t="s">
        <v>11</v>
      </c>
      <c r="B3" s="3" t="s">
        <v>12</v>
      </c>
      <c r="C3" s="3" t="n">
        <v>394000</v>
      </c>
      <c r="D3" s="3" t="n">
        <v>249</v>
      </c>
      <c r="E3" s="3" t="n">
        <v>68</v>
      </c>
      <c r="F3" s="3" t="n">
        <v>0.5</v>
      </c>
      <c r="G3" s="3" t="n">
        <v>20</v>
      </c>
      <c r="H3" s="3" t="s">
        <v>13</v>
      </c>
    </row>
    <row r="4" customFormat="false" ht="15" hidden="false" customHeight="true" outlineLevel="0" collapsed="false">
      <c r="A4" s="3" t="s">
        <v>14</v>
      </c>
      <c r="B4" s="3" t="s">
        <v>15</v>
      </c>
      <c r="C4" s="3" t="n">
        <v>42000</v>
      </c>
      <c r="D4" s="3" t="n">
        <v>41</v>
      </c>
      <c r="E4" s="3" t="n">
        <v>82</v>
      </c>
      <c r="F4" s="3" t="n">
        <v>1.1</v>
      </c>
      <c r="G4" s="3" t="n">
        <v>8</v>
      </c>
      <c r="H4" s="3" t="s">
        <v>10</v>
      </c>
    </row>
    <row r="5" customFormat="false" ht="15" hidden="false" customHeight="true" outlineLevel="0" collapsed="false">
      <c r="A5" s="3" t="s">
        <v>16</v>
      </c>
      <c r="B5" s="3" t="s">
        <v>17</v>
      </c>
      <c r="C5" s="3" t="n">
        <v>44000</v>
      </c>
      <c r="D5" s="3" t="n">
        <v>28</v>
      </c>
      <c r="E5" s="3" t="n">
        <v>68</v>
      </c>
      <c r="F5" s="3" t="n">
        <v>-6.7</v>
      </c>
      <c r="G5" s="3" t="n">
        <v>6</v>
      </c>
      <c r="H5" s="3" t="s">
        <v>10</v>
      </c>
    </row>
    <row r="6" customFormat="false" ht="15" hidden="false" customHeight="true" outlineLevel="0" collapsed="false">
      <c r="A6" s="3" t="s">
        <v>18</v>
      </c>
      <c r="B6" s="3" t="s">
        <v>19</v>
      </c>
      <c r="C6" s="3" t="n">
        <v>302000</v>
      </c>
      <c r="D6" s="3" t="n">
        <v>298</v>
      </c>
      <c r="E6" s="3" t="n">
        <v>72</v>
      </c>
      <c r="F6" s="3" t="n">
        <v>-0.5</v>
      </c>
      <c r="G6" s="3" t="n">
        <v>12</v>
      </c>
      <c r="H6" s="3" t="s">
        <v>13</v>
      </c>
    </row>
    <row r="7" customFormat="false" ht="15" hidden="false" customHeight="true" outlineLevel="0" collapsed="false">
      <c r="A7" s="3" t="s">
        <v>20</v>
      </c>
      <c r="B7" s="3" t="s">
        <v>21</v>
      </c>
      <c r="C7" s="3" t="n">
        <v>125000</v>
      </c>
      <c r="D7" s="3" t="n">
        <v>82</v>
      </c>
      <c r="E7" s="3" t="n">
        <v>97</v>
      </c>
      <c r="F7" s="3" t="n">
        <v>9.3</v>
      </c>
      <c r="G7" s="3" t="n">
        <v>1</v>
      </c>
      <c r="H7" s="3" t="s">
        <v>13</v>
      </c>
    </row>
    <row r="8" customFormat="false" ht="15" hidden="false" customHeight="true" outlineLevel="0" collapsed="false">
      <c r="A8" s="3" t="s">
        <v>22</v>
      </c>
      <c r="B8" s="3" t="s">
        <v>23</v>
      </c>
      <c r="C8" s="3" t="n">
        <v>155000</v>
      </c>
      <c r="D8" s="3" t="n">
        <v>134</v>
      </c>
      <c r="E8" s="3" t="n">
        <v>96</v>
      </c>
      <c r="F8" s="3" t="n">
        <v>12.5</v>
      </c>
      <c r="G8" s="3" t="n">
        <v>1</v>
      </c>
      <c r="H8" s="3" t="s">
        <v>13</v>
      </c>
    </row>
    <row r="9" customFormat="false" ht="15" hidden="false" customHeight="true" outlineLevel="0" collapsed="false">
      <c r="A9" s="3" t="s">
        <v>24</v>
      </c>
      <c r="B9" s="3" t="s">
        <v>25</v>
      </c>
      <c r="C9" s="3" t="n">
        <v>178000</v>
      </c>
      <c r="D9" s="3" t="n">
        <v>148</v>
      </c>
      <c r="E9" s="3" t="n">
        <v>83</v>
      </c>
      <c r="F9" s="3" t="n">
        <v>1.4</v>
      </c>
      <c r="G9" s="3" t="n">
        <v>13</v>
      </c>
      <c r="H9" s="3" t="s">
        <v>13</v>
      </c>
    </row>
    <row r="10" customFormat="false" ht="15" hidden="false" customHeight="true" outlineLevel="0" collapsed="false">
      <c r="A10" s="3" t="s">
        <v>26</v>
      </c>
      <c r="B10" s="3" t="s">
        <v>27</v>
      </c>
      <c r="C10" s="3" t="n">
        <v>28000</v>
      </c>
      <c r="D10" s="3" t="n">
        <v>24</v>
      </c>
      <c r="E10" s="3" t="n">
        <v>80</v>
      </c>
      <c r="F10" s="3" t="n">
        <v>-16.6</v>
      </c>
      <c r="G10" s="3" t="n">
        <v>8</v>
      </c>
      <c r="H10" s="3" t="s">
        <v>13</v>
      </c>
    </row>
    <row r="11" customFormat="false" ht="15" hidden="false" customHeight="true" outlineLevel="0" collapsed="false">
      <c r="A11" s="3" t="s">
        <v>28</v>
      </c>
      <c r="B11" s="3" t="s">
        <v>29</v>
      </c>
      <c r="C11" s="3" t="n">
        <v>47000</v>
      </c>
      <c r="D11" s="3" t="n">
        <v>47</v>
      </c>
      <c r="E11" s="3" t="n">
        <v>66</v>
      </c>
      <c r="F11" s="3" t="n">
        <v>3.2</v>
      </c>
      <c r="G11" s="3" t="n">
        <v>8</v>
      </c>
      <c r="H11" s="3" t="s">
        <v>30</v>
      </c>
    </row>
    <row r="12" customFormat="false" ht="15" hidden="false" customHeight="true" outlineLevel="0" collapsed="false">
      <c r="A12" s="3" t="s">
        <v>31</v>
      </c>
      <c r="B12" s="3" t="s">
        <v>32</v>
      </c>
      <c r="C12" s="3" t="n">
        <v>125000</v>
      </c>
      <c r="D12" s="3" t="n">
        <v>117</v>
      </c>
      <c r="E12" s="3" t="n">
        <v>69</v>
      </c>
      <c r="F12" s="3" t="n">
        <v>4.9</v>
      </c>
      <c r="G12" s="3" t="n">
        <v>9</v>
      </c>
      <c r="H12" s="3" t="s">
        <v>10</v>
      </c>
    </row>
    <row r="13" customFormat="false" ht="15" hidden="false" customHeight="true" outlineLevel="0" collapsed="false">
      <c r="A13" s="3" t="s">
        <v>33</v>
      </c>
      <c r="B13" s="3" t="s">
        <v>34</v>
      </c>
      <c r="C13" s="3" t="n">
        <v>444000</v>
      </c>
      <c r="D13" s="3" t="n">
        <v>438</v>
      </c>
      <c r="E13" s="3" t="n">
        <v>47</v>
      </c>
      <c r="F13" s="3" t="n">
        <v>-9.7</v>
      </c>
      <c r="G13" s="3" t="n">
        <v>12</v>
      </c>
      <c r="H13" s="3" t="s">
        <v>10</v>
      </c>
    </row>
    <row r="14" customFormat="false" ht="15" hidden="false" customHeight="true" outlineLevel="0" collapsed="false">
      <c r="A14" s="3" t="s">
        <v>35</v>
      </c>
      <c r="B14" s="3" t="s">
        <v>36</v>
      </c>
      <c r="C14" s="3" t="n">
        <v>39000</v>
      </c>
      <c r="D14" s="3" t="n">
        <v>31</v>
      </c>
      <c r="E14" s="3" t="n">
        <v>72</v>
      </c>
      <c r="F14" s="3" t="n">
        <v>15.7</v>
      </c>
      <c r="G14" s="3" t="n">
        <v>12</v>
      </c>
      <c r="H14" s="3" t="s">
        <v>13</v>
      </c>
    </row>
    <row r="15" customFormat="false" ht="15" hidden="false" customHeight="true" outlineLevel="0" collapsed="false">
      <c r="A15" s="3" t="s">
        <v>37</v>
      </c>
      <c r="B15" s="3" t="s">
        <v>38</v>
      </c>
      <c r="C15" s="3" t="n">
        <v>104000</v>
      </c>
      <c r="D15" s="3" t="n">
        <v>69</v>
      </c>
      <c r="E15" s="3" t="n">
        <v>46</v>
      </c>
      <c r="F15" s="3" t="n">
        <v>-9.8</v>
      </c>
      <c r="G15" s="3" t="n">
        <v>10</v>
      </c>
      <c r="H15" s="3" t="s">
        <v>10</v>
      </c>
    </row>
    <row r="16" customFormat="false" ht="15" hidden="false" customHeight="true" outlineLevel="0" collapsed="false">
      <c r="A16" s="3" t="s">
        <v>39</v>
      </c>
      <c r="B16" s="3" t="s">
        <v>40</v>
      </c>
      <c r="C16" s="3" t="n">
        <v>35000</v>
      </c>
      <c r="D16" s="3" t="n">
        <v>23</v>
      </c>
      <c r="E16" s="3" t="n">
        <v>57</v>
      </c>
      <c r="F16" s="3" t="n">
        <v>3.7</v>
      </c>
      <c r="G16" s="3" t="n">
        <v>18</v>
      </c>
      <c r="H16" s="3" t="s">
        <v>30</v>
      </c>
    </row>
    <row r="17" customFormat="false" ht="15" hidden="false" customHeight="true" outlineLevel="0" collapsed="false">
      <c r="A17" s="3" t="s">
        <v>41</v>
      </c>
      <c r="B17" s="3" t="s">
        <v>42</v>
      </c>
      <c r="C17" s="3" t="n">
        <v>412000</v>
      </c>
      <c r="D17" s="3" t="n">
        <v>350</v>
      </c>
      <c r="E17" s="3" t="n">
        <v>73</v>
      </c>
      <c r="F17" s="3" t="n">
        <v>14.6</v>
      </c>
      <c r="G17" s="3" t="n">
        <v>1</v>
      </c>
      <c r="H17" s="3" t="s">
        <v>13</v>
      </c>
    </row>
    <row r="18" customFormat="false" ht="15" hidden="false" customHeight="true" outlineLevel="0" collapsed="false">
      <c r="A18" s="3" t="s">
        <v>43</v>
      </c>
      <c r="B18" s="3" t="s">
        <v>44</v>
      </c>
      <c r="C18" s="3" t="n">
        <v>203000</v>
      </c>
      <c r="D18" s="3" t="n">
        <v>145</v>
      </c>
      <c r="E18" s="3" t="n">
        <v>80</v>
      </c>
      <c r="F18" s="3" t="n">
        <v>9.2</v>
      </c>
      <c r="G18" s="3" t="n">
        <v>8</v>
      </c>
      <c r="H18" s="3" t="s">
        <v>13</v>
      </c>
    </row>
    <row r="19" customFormat="false" ht="15" hidden="false" customHeight="true" outlineLevel="0" collapsed="false">
      <c r="A19" s="3" t="s">
        <v>45</v>
      </c>
      <c r="B19" s="3" t="s">
        <v>46</v>
      </c>
      <c r="C19" s="3" t="n">
        <v>172000</v>
      </c>
      <c r="D19" s="3" t="n">
        <v>123</v>
      </c>
      <c r="E19" s="3" t="n">
        <v>35</v>
      </c>
      <c r="F19" s="3" t="n">
        <v>-22.5</v>
      </c>
      <c r="G19" s="3" t="n">
        <v>13</v>
      </c>
      <c r="H19" s="3" t="s">
        <v>30</v>
      </c>
    </row>
    <row r="20" customFormat="false" ht="15" hidden="false" customHeight="true" outlineLevel="0" collapsed="false">
      <c r="A20" s="3" t="s">
        <v>47</v>
      </c>
      <c r="B20" s="3" t="s">
        <v>48</v>
      </c>
      <c r="C20" s="3" t="n">
        <v>221000</v>
      </c>
      <c r="D20" s="3" t="n">
        <v>181</v>
      </c>
      <c r="E20" s="3" t="n">
        <v>29</v>
      </c>
      <c r="F20" s="3" t="n">
        <v>-1</v>
      </c>
      <c r="G20" s="3" t="n">
        <v>15</v>
      </c>
      <c r="H20" s="3" t="s">
        <v>30</v>
      </c>
    </row>
    <row r="21" customFormat="false" ht="15" hidden="false" customHeight="true" outlineLevel="0" collapsed="false">
      <c r="A21" s="3" t="s">
        <v>49</v>
      </c>
      <c r="B21" s="3" t="s">
        <v>50</v>
      </c>
      <c r="C21" s="3" t="n">
        <v>335000</v>
      </c>
      <c r="D21" s="3" t="n">
        <v>322</v>
      </c>
      <c r="E21" s="3" t="n">
        <v>84</v>
      </c>
      <c r="F21" s="3" t="n">
        <v>23</v>
      </c>
      <c r="G21" s="3" t="n">
        <v>15</v>
      </c>
      <c r="H21" s="3" t="s">
        <v>10</v>
      </c>
    </row>
    <row r="22" customFormat="false" ht="15" hidden="false" customHeight="true" outlineLevel="0" collapsed="false">
      <c r="A22" s="3" t="s">
        <v>51</v>
      </c>
      <c r="B22" s="3" t="s">
        <v>52</v>
      </c>
      <c r="C22" s="3" t="n">
        <v>416000</v>
      </c>
      <c r="D22" s="3" t="n">
        <v>390</v>
      </c>
      <c r="E22" s="3" t="n">
        <v>81</v>
      </c>
      <c r="F22" s="3" t="n">
        <v>10.7</v>
      </c>
      <c r="G22" s="3" t="n">
        <v>2</v>
      </c>
      <c r="H22" s="3" t="s">
        <v>13</v>
      </c>
    </row>
    <row r="23" customFormat="false" ht="15" hidden="false" customHeight="true" outlineLevel="0" collapsed="false">
      <c r="A23" s="3" t="s">
        <v>53</v>
      </c>
      <c r="B23" s="3" t="s">
        <v>54</v>
      </c>
      <c r="C23" s="3" t="n">
        <v>327000</v>
      </c>
      <c r="D23" s="3" t="n">
        <v>268</v>
      </c>
      <c r="E23" s="3" t="n">
        <v>92</v>
      </c>
      <c r="F23" s="3" t="n">
        <v>10.7</v>
      </c>
      <c r="G23" s="3" t="n">
        <v>12</v>
      </c>
      <c r="H23" s="3" t="s">
        <v>13</v>
      </c>
    </row>
    <row r="24" customFormat="false" ht="15" hidden="false" customHeight="true" outlineLevel="0" collapsed="false">
      <c r="A24" s="3" t="s">
        <v>55</v>
      </c>
      <c r="B24" s="3" t="s">
        <v>56</v>
      </c>
      <c r="C24" s="3" t="n">
        <v>191000</v>
      </c>
      <c r="D24" s="3" t="n">
        <v>126</v>
      </c>
      <c r="E24" s="3" t="n">
        <v>75</v>
      </c>
      <c r="F24" s="3" t="n">
        <v>17.5</v>
      </c>
      <c r="G24" s="3" t="n">
        <v>7</v>
      </c>
      <c r="H24" s="3" t="s">
        <v>10</v>
      </c>
    </row>
    <row r="25" customFormat="false" ht="15" hidden="false" customHeight="true" outlineLevel="0" collapsed="false">
      <c r="A25" s="3" t="s">
        <v>57</v>
      </c>
      <c r="B25" s="3" t="s">
        <v>58</v>
      </c>
      <c r="C25" s="3" t="n">
        <v>192000</v>
      </c>
      <c r="D25" s="3" t="n">
        <v>134</v>
      </c>
      <c r="E25" s="3" t="n">
        <v>69</v>
      </c>
      <c r="F25" s="3" t="n">
        <v>4.4</v>
      </c>
      <c r="G25" s="3" t="n">
        <v>4</v>
      </c>
      <c r="H25" s="3" t="s">
        <v>13</v>
      </c>
    </row>
    <row r="26" customFormat="false" ht="15" hidden="false" customHeight="true" outlineLevel="0" collapsed="false">
      <c r="A26" s="3" t="s">
        <v>59</v>
      </c>
      <c r="B26" s="3" t="s">
        <v>60</v>
      </c>
      <c r="C26" s="3" t="n">
        <v>235000</v>
      </c>
      <c r="D26" s="3" t="n">
        <v>213</v>
      </c>
      <c r="E26" s="3" t="n">
        <v>52</v>
      </c>
      <c r="F26" s="3" t="n">
        <v>-18</v>
      </c>
      <c r="G26" s="3" t="n">
        <v>11</v>
      </c>
      <c r="H26" s="3" t="s">
        <v>61</v>
      </c>
    </row>
    <row r="27" customFormat="false" ht="15" hidden="false" customHeight="true" outlineLevel="0" collapsed="false">
      <c r="A27" s="3" t="s">
        <v>62</v>
      </c>
      <c r="B27" s="3" t="s">
        <v>63</v>
      </c>
      <c r="C27" s="3" t="n">
        <v>390000</v>
      </c>
      <c r="D27" s="3" t="n">
        <v>383</v>
      </c>
      <c r="E27" s="3" t="n">
        <v>91</v>
      </c>
      <c r="F27" s="3" t="n">
        <v>-6.7</v>
      </c>
      <c r="G27" s="3" t="n">
        <v>0</v>
      </c>
      <c r="H27" s="3" t="s">
        <v>13</v>
      </c>
    </row>
    <row r="28" customFormat="false" ht="15" hidden="false" customHeight="true" outlineLevel="0" collapsed="false">
      <c r="A28" s="3" t="s">
        <v>64</v>
      </c>
      <c r="B28" s="3" t="s">
        <v>65</v>
      </c>
      <c r="C28" s="3" t="n">
        <v>125000</v>
      </c>
      <c r="D28" s="3" t="n">
        <v>125</v>
      </c>
      <c r="E28" s="3" t="n">
        <v>49</v>
      </c>
      <c r="F28" s="3" t="n">
        <v>6.3</v>
      </c>
      <c r="G28" s="3" t="n">
        <v>7</v>
      </c>
      <c r="H28" s="3" t="s">
        <v>30</v>
      </c>
    </row>
    <row r="29" customFormat="false" ht="15" hidden="false" customHeight="true" outlineLevel="0" collapsed="false">
      <c r="A29" s="3" t="s">
        <v>66</v>
      </c>
      <c r="B29" s="3" t="s">
        <v>67</v>
      </c>
      <c r="C29" s="3" t="n">
        <v>169000</v>
      </c>
      <c r="D29" s="3" t="n">
        <v>108</v>
      </c>
      <c r="E29" s="3" t="n">
        <v>25</v>
      </c>
      <c r="F29" s="3" t="n">
        <v>0.2</v>
      </c>
      <c r="G29" s="3" t="n">
        <v>14</v>
      </c>
      <c r="H29" s="3" t="s">
        <v>61</v>
      </c>
    </row>
    <row r="30" customFormat="false" ht="15" hidden="false" customHeight="true" outlineLevel="0" collapsed="false">
      <c r="A30" s="3" t="s">
        <v>68</v>
      </c>
      <c r="B30" s="3" t="s">
        <v>69</v>
      </c>
      <c r="C30" s="3" t="n">
        <v>92000</v>
      </c>
      <c r="D30" s="3" t="n">
        <v>65</v>
      </c>
      <c r="E30" s="3" t="n">
        <v>82</v>
      </c>
      <c r="F30" s="3" t="n">
        <v>15.9</v>
      </c>
      <c r="G30" s="3" t="n">
        <v>5</v>
      </c>
      <c r="H30" s="3" t="s">
        <v>13</v>
      </c>
    </row>
    <row r="31" customFormat="false" ht="15" hidden="false" customHeight="true" outlineLevel="0" collapsed="false">
      <c r="A31" s="3" t="s">
        <v>70</v>
      </c>
      <c r="B31" s="3" t="s">
        <v>71</v>
      </c>
      <c r="C31" s="3" t="n">
        <v>259000</v>
      </c>
      <c r="D31" s="3" t="n">
        <v>211</v>
      </c>
      <c r="E31" s="3" t="n">
        <v>81</v>
      </c>
      <c r="F31" s="3" t="n">
        <v>14</v>
      </c>
      <c r="G31" s="3" t="n">
        <v>3</v>
      </c>
      <c r="H31" s="3" t="s">
        <v>13</v>
      </c>
    </row>
    <row r="32" customFormat="false" ht="15" hidden="false" customHeight="true" outlineLevel="0" collapsed="false">
      <c r="A32" s="3" t="s">
        <v>72</v>
      </c>
      <c r="B32" s="3" t="s">
        <v>73</v>
      </c>
      <c r="C32" s="3" t="n">
        <v>164000</v>
      </c>
      <c r="D32" s="3" t="n">
        <v>109</v>
      </c>
      <c r="E32" s="3" t="n">
        <v>97</v>
      </c>
      <c r="F32" s="3" t="n">
        <v>15.8</v>
      </c>
      <c r="G32" s="3" t="n">
        <v>7</v>
      </c>
      <c r="H32" s="3" t="s">
        <v>13</v>
      </c>
    </row>
    <row r="33" customFormat="false" ht="15" hidden="false" customHeight="true" outlineLevel="0" collapsed="false">
      <c r="A33" s="3" t="s">
        <v>74</v>
      </c>
      <c r="B33" s="3" t="s">
        <v>75</v>
      </c>
      <c r="C33" s="3" t="n">
        <v>437000</v>
      </c>
      <c r="D33" s="3" t="n">
        <v>362</v>
      </c>
      <c r="E33" s="3" t="n">
        <v>81</v>
      </c>
      <c r="F33" s="3" t="n">
        <v>18.9</v>
      </c>
      <c r="G33" s="3" t="n">
        <v>8</v>
      </c>
      <c r="H33" s="3" t="s">
        <v>10</v>
      </c>
    </row>
    <row r="34" customFormat="false" ht="15" hidden="false" customHeight="true" outlineLevel="0" collapsed="false">
      <c r="A34" s="3" t="s">
        <v>76</v>
      </c>
      <c r="B34" s="3" t="s">
        <v>77</v>
      </c>
      <c r="C34" s="3" t="n">
        <v>416000</v>
      </c>
      <c r="D34" s="3" t="n">
        <v>352</v>
      </c>
      <c r="E34" s="3" t="n">
        <v>48</v>
      </c>
      <c r="F34" s="3" t="n">
        <v>4.8</v>
      </c>
      <c r="G34" s="3" t="n">
        <v>21</v>
      </c>
      <c r="H34" s="3" t="s">
        <v>10</v>
      </c>
    </row>
    <row r="35" customFormat="false" ht="15" hidden="false" customHeight="true" outlineLevel="0" collapsed="false">
      <c r="A35" s="3" t="s">
        <v>78</v>
      </c>
      <c r="B35" s="3" t="s">
        <v>79</v>
      </c>
      <c r="C35" s="3" t="n">
        <v>69000</v>
      </c>
      <c r="D35" s="3" t="n">
        <v>44</v>
      </c>
      <c r="E35" s="3" t="n">
        <v>57</v>
      </c>
      <c r="F35" s="3" t="n">
        <v>7.3</v>
      </c>
      <c r="G35" s="3" t="n">
        <v>10</v>
      </c>
      <c r="H35" s="3" t="s">
        <v>10</v>
      </c>
    </row>
    <row r="36" customFormat="false" ht="15" hidden="false" customHeight="true" outlineLevel="0" collapsed="false">
      <c r="A36" s="3" t="s">
        <v>80</v>
      </c>
      <c r="B36" s="3" t="s">
        <v>81</v>
      </c>
      <c r="C36" s="3" t="n">
        <v>217000</v>
      </c>
      <c r="D36" s="3" t="n">
        <v>169</v>
      </c>
      <c r="E36" s="3" t="n">
        <v>77</v>
      </c>
      <c r="F36" s="3" t="n">
        <v>4.8</v>
      </c>
      <c r="G36" s="3" t="n">
        <v>2</v>
      </c>
      <c r="H36" s="3" t="s">
        <v>10</v>
      </c>
    </row>
    <row r="37" customFormat="false" ht="15" hidden="false" customHeight="true" outlineLevel="0" collapsed="false">
      <c r="A37" s="3" t="s">
        <v>82</v>
      </c>
      <c r="B37" s="3" t="s">
        <v>83</v>
      </c>
      <c r="C37" s="3" t="n">
        <v>75000</v>
      </c>
      <c r="D37" s="3" t="n">
        <v>49</v>
      </c>
      <c r="E37" s="3" t="n">
        <v>72</v>
      </c>
      <c r="F37" s="3" t="n">
        <v>14.4</v>
      </c>
      <c r="G37" s="3" t="n">
        <v>7</v>
      </c>
      <c r="H37" s="3" t="s">
        <v>10</v>
      </c>
    </row>
    <row r="38" customFormat="false" ht="15" hidden="false" customHeight="true" outlineLevel="0" collapsed="false">
      <c r="A38" s="3" t="s">
        <v>84</v>
      </c>
      <c r="B38" s="3" t="s">
        <v>85</v>
      </c>
      <c r="C38" s="3" t="n">
        <v>82000</v>
      </c>
      <c r="D38" s="3" t="n">
        <v>65</v>
      </c>
      <c r="E38" s="3" t="n">
        <v>80</v>
      </c>
      <c r="F38" s="3" t="n">
        <v>-1.5</v>
      </c>
      <c r="G38" s="3" t="n">
        <v>7</v>
      </c>
      <c r="H38" s="3" t="s">
        <v>13</v>
      </c>
    </row>
    <row r="39" customFormat="false" ht="15" hidden="false" customHeight="true" outlineLevel="0" collapsed="false">
      <c r="A39" s="3" t="s">
        <v>86</v>
      </c>
      <c r="B39" s="3" t="s">
        <v>87</v>
      </c>
      <c r="C39" s="3" t="n">
        <v>176000</v>
      </c>
      <c r="D39" s="3" t="n">
        <v>137</v>
      </c>
      <c r="E39" s="3" t="n">
        <v>72</v>
      </c>
      <c r="F39" s="3" t="n">
        <v>26.6</v>
      </c>
      <c r="G39" s="3" t="n">
        <v>5</v>
      </c>
      <c r="H39" s="3" t="s">
        <v>13</v>
      </c>
    </row>
    <row r="40" customFormat="false" ht="15" hidden="false" customHeight="true" outlineLevel="0" collapsed="false">
      <c r="A40" s="3" t="s">
        <v>88</v>
      </c>
      <c r="B40" s="3" t="s">
        <v>89</v>
      </c>
      <c r="C40" s="3" t="n">
        <v>143000</v>
      </c>
      <c r="D40" s="3" t="n">
        <v>117</v>
      </c>
      <c r="E40" s="3" t="n">
        <v>79</v>
      </c>
      <c r="F40" s="3" t="n">
        <v>14.9</v>
      </c>
      <c r="G40" s="3" t="n">
        <v>7</v>
      </c>
      <c r="H40" s="3" t="s">
        <v>13</v>
      </c>
    </row>
    <row r="41" customFormat="false" ht="15" hidden="false" customHeight="true" outlineLevel="0" collapsed="false">
      <c r="A41" s="3" t="s">
        <v>90</v>
      </c>
      <c r="B41" s="3" t="s">
        <v>91</v>
      </c>
      <c r="C41" s="3" t="n">
        <v>294000</v>
      </c>
      <c r="D41" s="3" t="n">
        <v>259</v>
      </c>
      <c r="E41" s="3" t="n">
        <v>42</v>
      </c>
      <c r="F41" s="3" t="n">
        <v>-9.3</v>
      </c>
      <c r="G41" s="3" t="n">
        <v>7</v>
      </c>
      <c r="H41" s="3" t="s">
        <v>30</v>
      </c>
    </row>
    <row r="42" customFormat="false" ht="15" hidden="false" customHeight="true" outlineLevel="0" collapsed="false">
      <c r="A42" s="3" t="s">
        <v>92</v>
      </c>
      <c r="B42" s="3" t="s">
        <v>93</v>
      </c>
      <c r="C42" s="3" t="n">
        <v>238000</v>
      </c>
      <c r="D42" s="3" t="n">
        <v>154</v>
      </c>
      <c r="E42" s="3" t="n">
        <v>83</v>
      </c>
      <c r="F42" s="3" t="n">
        <v>4.3</v>
      </c>
      <c r="G42" s="3" t="n">
        <v>3</v>
      </c>
      <c r="H42" s="3" t="s">
        <v>13</v>
      </c>
    </row>
    <row r="43" customFormat="false" ht="15" hidden="false" customHeight="true" outlineLevel="0" collapsed="false">
      <c r="A43" s="3" t="s">
        <v>94</v>
      </c>
      <c r="B43" s="3" t="s">
        <v>95</v>
      </c>
      <c r="C43" s="3" t="n">
        <v>384000</v>
      </c>
      <c r="D43" s="3" t="n">
        <v>275</v>
      </c>
      <c r="E43" s="3" t="n">
        <v>49</v>
      </c>
      <c r="F43" s="3" t="n">
        <v>-2.2</v>
      </c>
      <c r="G43" s="3" t="n">
        <v>11</v>
      </c>
      <c r="H43" s="3" t="s">
        <v>30</v>
      </c>
    </row>
    <row r="44" customFormat="false" ht="15" hidden="false" customHeight="true" outlineLevel="0" collapsed="false">
      <c r="A44" s="3" t="s">
        <v>96</v>
      </c>
      <c r="B44" s="3" t="s">
        <v>97</v>
      </c>
      <c r="C44" s="3" t="n">
        <v>16000</v>
      </c>
      <c r="D44" s="3" t="n">
        <v>15</v>
      </c>
      <c r="E44" s="3" t="n">
        <v>70</v>
      </c>
      <c r="F44" s="3" t="n">
        <v>6.6</v>
      </c>
      <c r="G44" s="3" t="n">
        <v>11</v>
      </c>
      <c r="H44" s="3" t="s">
        <v>13</v>
      </c>
    </row>
    <row r="45" customFormat="false" ht="15" hidden="false" customHeight="true" outlineLevel="0" collapsed="false">
      <c r="A45" s="3" t="s">
        <v>98</v>
      </c>
      <c r="B45" s="3" t="s">
        <v>99</v>
      </c>
      <c r="C45" s="3" t="n">
        <v>22000</v>
      </c>
      <c r="D45" s="3" t="n">
        <v>18</v>
      </c>
      <c r="E45" s="3" t="n">
        <v>53</v>
      </c>
      <c r="F45" s="3" t="n">
        <v>5.1</v>
      </c>
      <c r="G45" s="3" t="n">
        <v>11</v>
      </c>
      <c r="H45" s="3" t="s">
        <v>10</v>
      </c>
    </row>
    <row r="46" customFormat="false" ht="15" hidden="false" customHeight="true" outlineLevel="0" collapsed="false">
      <c r="A46" s="3" t="s">
        <v>100</v>
      </c>
      <c r="B46" s="3" t="s">
        <v>101</v>
      </c>
      <c r="C46" s="3" t="n">
        <v>52000</v>
      </c>
      <c r="D46" s="3" t="n">
        <v>45</v>
      </c>
      <c r="E46" s="3" t="n">
        <v>69</v>
      </c>
      <c r="F46" s="3" t="n">
        <v>6.3</v>
      </c>
      <c r="G46" s="3" t="n">
        <v>14</v>
      </c>
      <c r="H46" s="3" t="s">
        <v>13</v>
      </c>
    </row>
    <row r="47" customFormat="false" ht="15" hidden="false" customHeight="true" outlineLevel="0" collapsed="false">
      <c r="A47" s="3" t="s">
        <v>102</v>
      </c>
      <c r="B47" s="3" t="s">
        <v>103</v>
      </c>
      <c r="C47" s="3" t="n">
        <v>179000</v>
      </c>
      <c r="D47" s="3" t="n">
        <v>166</v>
      </c>
      <c r="E47" s="3" t="n">
        <v>78</v>
      </c>
      <c r="F47" s="3" t="n">
        <v>-8.7</v>
      </c>
      <c r="G47" s="3" t="n">
        <v>6</v>
      </c>
      <c r="H47" s="3" t="s">
        <v>10</v>
      </c>
    </row>
    <row r="48" customFormat="false" ht="15" hidden="false" customHeight="true" outlineLevel="0" collapsed="false">
      <c r="A48" s="3" t="s">
        <v>104</v>
      </c>
      <c r="B48" s="3" t="s">
        <v>105</v>
      </c>
      <c r="C48" s="3" t="n">
        <v>360000</v>
      </c>
      <c r="D48" s="3" t="n">
        <v>299</v>
      </c>
      <c r="E48" s="3" t="n">
        <v>73</v>
      </c>
      <c r="F48" s="3" t="n">
        <v>-2.3</v>
      </c>
      <c r="G48" s="3" t="n">
        <v>3</v>
      </c>
      <c r="H48" s="3" t="s">
        <v>10</v>
      </c>
    </row>
    <row r="49" customFormat="false" ht="15" hidden="false" customHeight="true" outlineLevel="0" collapsed="false">
      <c r="A49" s="3" t="s">
        <v>106</v>
      </c>
      <c r="B49" s="3" t="s">
        <v>107</v>
      </c>
      <c r="C49" s="3" t="n">
        <v>13000</v>
      </c>
      <c r="D49" s="3" t="n">
        <v>12</v>
      </c>
      <c r="E49" s="3" t="n">
        <v>52</v>
      </c>
      <c r="F49" s="3" t="n">
        <v>-13.6</v>
      </c>
      <c r="G49" s="3" t="n">
        <v>14</v>
      </c>
      <c r="H49" s="3" t="s">
        <v>10</v>
      </c>
    </row>
    <row r="50" customFormat="false" ht="15" hidden="false" customHeight="true" outlineLevel="0" collapsed="false">
      <c r="A50" s="3" t="s">
        <v>108</v>
      </c>
      <c r="B50" s="3" t="s">
        <v>109</v>
      </c>
      <c r="C50" s="3" t="n">
        <v>168000</v>
      </c>
      <c r="D50" s="3" t="n">
        <v>154</v>
      </c>
      <c r="E50" s="3" t="n">
        <v>78</v>
      </c>
      <c r="F50" s="3" t="n">
        <v>20.7</v>
      </c>
      <c r="G50" s="3" t="n">
        <v>6</v>
      </c>
      <c r="H50" s="3" t="s">
        <v>13</v>
      </c>
    </row>
    <row r="51" customFormat="false" ht="15" hidden="false" customHeight="true" outlineLevel="0" collapsed="false">
      <c r="A51" s="3" t="s">
        <v>110</v>
      </c>
      <c r="B51" s="3" t="s">
        <v>111</v>
      </c>
      <c r="C51" s="3" t="n">
        <v>420000</v>
      </c>
      <c r="D51" s="3" t="n">
        <v>415</v>
      </c>
      <c r="E51" s="3" t="n">
        <v>56</v>
      </c>
      <c r="F51" s="3" t="n">
        <v>-2.9</v>
      </c>
      <c r="G51" s="3" t="n">
        <v>10</v>
      </c>
      <c r="H51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6" min="4" style="1" width="10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3" min="10" style="1" width="11"/>
    <col collapsed="false" customWidth="true" hidden="false" outlineLevel="0" max="14" min="14" style="1" width="9"/>
    <col collapsed="false" customWidth="true" hidden="false" outlineLevel="0" max="15" min="15" style="1" width="12"/>
    <col collapsed="false" customWidth="true" hidden="false" outlineLevel="0" max="16" min="16" style="1" width="15"/>
    <col collapsed="false" customWidth="true" hidden="false" outlineLevel="0" max="17" min="17" style="1" width="13"/>
  </cols>
  <sheetData>
    <row r="1" customFormat="false" ht="51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  <c r="N1" s="5" t="s">
        <v>117</v>
      </c>
      <c r="O1" s="5" t="s">
        <v>118</v>
      </c>
      <c r="P1" s="5" t="s">
        <v>119</v>
      </c>
      <c r="Q1" s="5" t="s">
        <v>120</v>
      </c>
    </row>
    <row r="2" customFormat="false" ht="15" hidden="false" customHeight="true" outlineLevel="0" collapsed="false">
      <c r="A2" s="6" t="str">
        <f aca="false">Raw_Telemetry!A2</f>
        <v>ID-1001</v>
      </c>
      <c r="B2" s="6" t="str">
        <f aca="false">Raw_Telemetry!B2</f>
        <v>Shree Balaji Distributors</v>
      </c>
      <c r="C2" s="7" t="n">
        <f aca="false">Raw_Telemetry!C2</f>
        <v>400000</v>
      </c>
      <c r="D2" s="6" t="n">
        <f aca="false">Raw_Telemetry!D2</f>
        <v>322</v>
      </c>
      <c r="E2" s="6" t="n">
        <f aca="false">Raw_Telemetry!E2</f>
        <v>62</v>
      </c>
      <c r="F2" s="6" t="n">
        <f aca="false">Raw_Telemetry!F2</f>
        <v>-8.3</v>
      </c>
      <c r="G2" s="6" t="n">
        <f aca="false">Raw_Telemetry!G2</f>
        <v>10</v>
      </c>
      <c r="H2" s="6" t="str">
        <f aca="false">Raw_Telemetry!H2</f>
        <v>Passive</v>
      </c>
      <c r="I2" s="8" t="n">
        <f aca="false">E2</f>
        <v>62</v>
      </c>
      <c r="J2" s="8" t="n">
        <f aca="false">MEDIAN(0,(F2+20)*2.5,100)</f>
        <v>29.25</v>
      </c>
      <c r="K2" s="8" t="n">
        <f aca="false">MAX(0,100-(G2*4))</f>
        <v>60</v>
      </c>
      <c r="L2" s="8" t="n">
        <f aca="false">_xlfn.IFS(H2="Engaged",100,H2="Passive",60,H2="None",25,H2="Champion Departed",10)</f>
        <v>60</v>
      </c>
      <c r="M2" s="9" t="n">
        <f aca="false">ROUND(0.4*I2+0.25*J2+0.2*K2+0.15*L2,1)</f>
        <v>53.1</v>
      </c>
      <c r="N2" s="10" t="str">
        <f aca="false">IF(M2&gt;=72,"Green",IF(M2&gt;=52,"Yellow","Red"))</f>
        <v>Yellow</v>
      </c>
      <c r="O2" s="11" t="n">
        <f aca="false">IF(AND(N2="Red",OR(H2="None",H2="Champion Departed"),E2&lt;45),C2,0)</f>
        <v>0</v>
      </c>
      <c r="P2" s="11" t="n">
        <f aca="false">IF(AND(N2="Red",O2=0),C2*0.15,0)</f>
        <v>0</v>
      </c>
      <c r="Q2" s="11" t="n">
        <f aca="false">IF(N2="Green",C2*0.18,0)</f>
        <v>0</v>
      </c>
    </row>
    <row r="3" customFormat="false" ht="15" hidden="false" customHeight="true" outlineLevel="0" collapsed="false">
      <c r="A3" s="6" t="str">
        <f aca="false">Raw_Telemetry!A3</f>
        <v>ID-1002</v>
      </c>
      <c r="B3" s="6" t="str">
        <f aca="false">Raw_Telemetry!B3</f>
        <v>Kumar Trading Co</v>
      </c>
      <c r="C3" s="7" t="n">
        <f aca="false">Raw_Telemetry!C3</f>
        <v>394000</v>
      </c>
      <c r="D3" s="6" t="n">
        <f aca="false">Raw_Telemetry!D3</f>
        <v>249</v>
      </c>
      <c r="E3" s="6" t="n">
        <f aca="false">Raw_Telemetry!E3</f>
        <v>68</v>
      </c>
      <c r="F3" s="6" t="n">
        <f aca="false">Raw_Telemetry!F3</f>
        <v>0.5</v>
      </c>
      <c r="G3" s="6" t="n">
        <f aca="false">Raw_Telemetry!G3</f>
        <v>20</v>
      </c>
      <c r="H3" s="6" t="str">
        <f aca="false">Raw_Telemetry!H3</f>
        <v>Engaged</v>
      </c>
      <c r="I3" s="8" t="n">
        <f aca="false">E3</f>
        <v>68</v>
      </c>
      <c r="J3" s="8" t="n">
        <f aca="false">MEDIAN(0,(F3+20)*2.5,100)</f>
        <v>51.25</v>
      </c>
      <c r="K3" s="8" t="n">
        <f aca="false">MAX(0,100-(G3*4))</f>
        <v>20</v>
      </c>
      <c r="L3" s="8" t="n">
        <f aca="false">_xlfn.IFS(H3="Engaged",100,H3="Passive",60,H3="None",25,H3="Champion Departed",10)</f>
        <v>100</v>
      </c>
      <c r="M3" s="9" t="n">
        <f aca="false">ROUND(0.4*I3+0.25*J3+0.2*K3+0.15*L3,1)</f>
        <v>59</v>
      </c>
      <c r="N3" s="10" t="str">
        <f aca="false">IF(M3&gt;=72,"Green",IF(M3&gt;=52,"Yellow","Red"))</f>
        <v>Yellow</v>
      </c>
      <c r="O3" s="11" t="n">
        <f aca="false">IF(AND(N3="Red",OR(H3="None",H3="Champion Departed"),E3&lt;45),C3,0)</f>
        <v>0</v>
      </c>
      <c r="P3" s="11" t="n">
        <f aca="false">IF(AND(N3="Red",O3=0),C3*0.15,0)</f>
        <v>0</v>
      </c>
      <c r="Q3" s="11" t="n">
        <f aca="false">IF(N3="Green",C3*0.18,0)</f>
        <v>0</v>
      </c>
    </row>
    <row r="4" customFormat="false" ht="15" hidden="false" customHeight="true" outlineLevel="0" collapsed="false">
      <c r="A4" s="6" t="str">
        <f aca="false">Raw_Telemetry!A4</f>
        <v>ID-1003</v>
      </c>
      <c r="B4" s="6" t="str">
        <f aca="false">Raw_Telemetry!B4</f>
        <v>Apex Retail Supply</v>
      </c>
      <c r="C4" s="7" t="n">
        <f aca="false">Raw_Telemetry!C4</f>
        <v>42000</v>
      </c>
      <c r="D4" s="6" t="n">
        <f aca="false">Raw_Telemetry!D4</f>
        <v>41</v>
      </c>
      <c r="E4" s="6" t="n">
        <f aca="false">Raw_Telemetry!E4</f>
        <v>82</v>
      </c>
      <c r="F4" s="6" t="n">
        <f aca="false">Raw_Telemetry!F4</f>
        <v>1.1</v>
      </c>
      <c r="G4" s="6" t="n">
        <f aca="false">Raw_Telemetry!G4</f>
        <v>8</v>
      </c>
      <c r="H4" s="6" t="str">
        <f aca="false">Raw_Telemetry!H4</f>
        <v>Passive</v>
      </c>
      <c r="I4" s="8" t="n">
        <f aca="false">E4</f>
        <v>82</v>
      </c>
      <c r="J4" s="8" t="n">
        <f aca="false">MEDIAN(0,(F4+20)*2.5,100)</f>
        <v>52.75</v>
      </c>
      <c r="K4" s="8" t="n">
        <f aca="false">MAX(0,100-(G4*4))</f>
        <v>68</v>
      </c>
      <c r="L4" s="8" t="n">
        <f aca="false">_xlfn.IFS(H4="Engaged",100,H4="Passive",60,H4="None",25,H4="Champion Departed",10)</f>
        <v>60</v>
      </c>
      <c r="M4" s="9" t="n">
        <f aca="false">ROUND(0.4*I4+0.25*J4+0.2*K4+0.15*L4,1)</f>
        <v>68.6</v>
      </c>
      <c r="N4" s="10" t="str">
        <f aca="false">IF(M4&gt;=72,"Green",IF(M4&gt;=52,"Yellow","Red"))</f>
        <v>Yellow</v>
      </c>
      <c r="O4" s="11" t="n">
        <f aca="false">IF(AND(N4="Red",OR(H4="None",H4="Champion Departed"),E4&lt;45),C4,0)</f>
        <v>0</v>
      </c>
      <c r="P4" s="11" t="n">
        <f aca="false">IF(AND(N4="Red",O4=0),C4*0.15,0)</f>
        <v>0</v>
      </c>
      <c r="Q4" s="11" t="n">
        <f aca="false">IF(N4="Green",C4*0.18,0)</f>
        <v>0</v>
      </c>
    </row>
    <row r="5" customFormat="false" ht="15" hidden="false" customHeight="true" outlineLevel="0" collapsed="false">
      <c r="A5" s="6" t="str">
        <f aca="false">Raw_Telemetry!A5</f>
        <v>ID-1004</v>
      </c>
      <c r="B5" s="6" t="str">
        <f aca="false">Raw_Telemetry!B5</f>
        <v>Ganpati Wholesale Mart</v>
      </c>
      <c r="C5" s="7" t="n">
        <f aca="false">Raw_Telemetry!C5</f>
        <v>44000</v>
      </c>
      <c r="D5" s="6" t="n">
        <f aca="false">Raw_Telemetry!D5</f>
        <v>28</v>
      </c>
      <c r="E5" s="6" t="n">
        <f aca="false">Raw_Telemetry!E5</f>
        <v>68</v>
      </c>
      <c r="F5" s="6" t="n">
        <f aca="false">Raw_Telemetry!F5</f>
        <v>-6.7</v>
      </c>
      <c r="G5" s="6" t="n">
        <f aca="false">Raw_Telemetry!G5</f>
        <v>6</v>
      </c>
      <c r="H5" s="6" t="str">
        <f aca="false">Raw_Telemetry!H5</f>
        <v>Passive</v>
      </c>
      <c r="I5" s="8" t="n">
        <f aca="false">E5</f>
        <v>68</v>
      </c>
      <c r="J5" s="8" t="n">
        <f aca="false">MEDIAN(0,(F5+20)*2.5,100)</f>
        <v>33.25</v>
      </c>
      <c r="K5" s="8" t="n">
        <f aca="false">MAX(0,100-(G5*4))</f>
        <v>76</v>
      </c>
      <c r="L5" s="8" t="n">
        <f aca="false">_xlfn.IFS(H5="Engaged",100,H5="Passive",60,H5="None",25,H5="Champion Departed",10)</f>
        <v>60</v>
      </c>
      <c r="M5" s="9" t="n">
        <f aca="false">ROUND(0.4*I5+0.25*J5+0.2*K5+0.15*L5,1)</f>
        <v>59.7</v>
      </c>
      <c r="N5" s="10" t="str">
        <f aca="false">IF(M5&gt;=72,"Green",IF(M5&gt;=52,"Yellow","Red"))</f>
        <v>Yellow</v>
      </c>
      <c r="O5" s="11" t="n">
        <f aca="false">IF(AND(N5="Red",OR(H5="None",H5="Champion Departed"),E5&lt;45),C5,0)</f>
        <v>0</v>
      </c>
      <c r="P5" s="11" t="n">
        <f aca="false">IF(AND(N5="Red",O5=0),C5*0.15,0)</f>
        <v>0</v>
      </c>
      <c r="Q5" s="11" t="n">
        <f aca="false">IF(N5="Green",C5*0.18,0)</f>
        <v>0</v>
      </c>
    </row>
    <row r="6" customFormat="false" ht="15" hidden="false" customHeight="true" outlineLevel="0" collapsed="false">
      <c r="A6" s="6" t="str">
        <f aca="false">Raw_Telemetry!A6</f>
        <v>ID-1005</v>
      </c>
      <c r="B6" s="6" t="str">
        <f aca="false">Raw_Telemetry!B6</f>
        <v>Nova Consumer Goods</v>
      </c>
      <c r="C6" s="7" t="n">
        <f aca="false">Raw_Telemetry!C6</f>
        <v>302000</v>
      </c>
      <c r="D6" s="6" t="n">
        <f aca="false">Raw_Telemetry!D6</f>
        <v>298</v>
      </c>
      <c r="E6" s="6" t="n">
        <f aca="false">Raw_Telemetry!E6</f>
        <v>72</v>
      </c>
      <c r="F6" s="6" t="n">
        <f aca="false">Raw_Telemetry!F6</f>
        <v>-0.5</v>
      </c>
      <c r="G6" s="6" t="n">
        <f aca="false">Raw_Telemetry!G6</f>
        <v>12</v>
      </c>
      <c r="H6" s="6" t="str">
        <f aca="false">Raw_Telemetry!H6</f>
        <v>Engaged</v>
      </c>
      <c r="I6" s="8" t="n">
        <f aca="false">E6</f>
        <v>72</v>
      </c>
      <c r="J6" s="8" t="n">
        <f aca="false">MEDIAN(0,(F6+20)*2.5,100)</f>
        <v>48.75</v>
      </c>
      <c r="K6" s="8" t="n">
        <f aca="false">MAX(0,100-(G6*4))</f>
        <v>52</v>
      </c>
      <c r="L6" s="8" t="n">
        <f aca="false">_xlfn.IFS(H6="Engaged",100,H6="Passive",60,H6="None",25,H6="Champion Departed",10)</f>
        <v>100</v>
      </c>
      <c r="M6" s="9" t="n">
        <f aca="false">ROUND(0.4*I6+0.25*J6+0.2*K6+0.15*L6,1)</f>
        <v>66.4</v>
      </c>
      <c r="N6" s="10" t="str">
        <f aca="false">IF(M6&gt;=72,"Green",IF(M6&gt;=52,"Yellow","Red"))</f>
        <v>Yellow</v>
      </c>
      <c r="O6" s="11" t="n">
        <f aca="false">IF(AND(N6="Red",OR(H6="None",H6="Champion Departed"),E6&lt;45),C6,0)</f>
        <v>0</v>
      </c>
      <c r="P6" s="11" t="n">
        <f aca="false">IF(AND(N6="Red",O6=0),C6*0.15,0)</f>
        <v>0</v>
      </c>
      <c r="Q6" s="11" t="n">
        <f aca="false">IF(N6="Green",C6*0.18,0)</f>
        <v>0</v>
      </c>
    </row>
    <row r="7" customFormat="false" ht="15" hidden="false" customHeight="true" outlineLevel="0" collapsed="false">
      <c r="A7" s="6" t="str">
        <f aca="false">Raw_Telemetry!A7</f>
        <v>ID-1006</v>
      </c>
      <c r="B7" s="6" t="str">
        <f aca="false">Raw_Telemetry!B7</f>
        <v>Sunrise Beverage Distribution</v>
      </c>
      <c r="C7" s="7" t="n">
        <f aca="false">Raw_Telemetry!C7</f>
        <v>125000</v>
      </c>
      <c r="D7" s="6" t="n">
        <f aca="false">Raw_Telemetry!D7</f>
        <v>82</v>
      </c>
      <c r="E7" s="6" t="n">
        <f aca="false">Raw_Telemetry!E7</f>
        <v>97</v>
      </c>
      <c r="F7" s="6" t="n">
        <f aca="false">Raw_Telemetry!F7</f>
        <v>9.3</v>
      </c>
      <c r="G7" s="6" t="n">
        <f aca="false">Raw_Telemetry!G7</f>
        <v>1</v>
      </c>
      <c r="H7" s="6" t="str">
        <f aca="false">Raw_Telemetry!H7</f>
        <v>Engaged</v>
      </c>
      <c r="I7" s="8" t="n">
        <f aca="false">E7</f>
        <v>97</v>
      </c>
      <c r="J7" s="8" t="n">
        <f aca="false">MEDIAN(0,(F7+20)*2.5,100)</f>
        <v>73.25</v>
      </c>
      <c r="K7" s="8" t="n">
        <f aca="false">MAX(0,100-(G7*4))</f>
        <v>96</v>
      </c>
      <c r="L7" s="8" t="n">
        <f aca="false">_xlfn.IFS(H7="Engaged",100,H7="Passive",60,H7="None",25,H7="Champion Departed",10)</f>
        <v>100</v>
      </c>
      <c r="M7" s="9" t="n">
        <f aca="false">ROUND(0.4*I7+0.25*J7+0.2*K7+0.15*L7,1)</f>
        <v>91.3</v>
      </c>
      <c r="N7" s="10" t="str">
        <f aca="false">IF(M7&gt;=72,"Green",IF(M7&gt;=52,"Yellow","Red"))</f>
        <v>Green</v>
      </c>
      <c r="O7" s="11" t="n">
        <f aca="false">IF(AND(N7="Red",OR(H7="None",H7="Champion Departed"),E7&lt;45),C7,0)</f>
        <v>0</v>
      </c>
      <c r="P7" s="11" t="n">
        <f aca="false">IF(AND(N7="Red",O7=0),C7*0.15,0)</f>
        <v>0</v>
      </c>
      <c r="Q7" s="11" t="n">
        <f aca="false">IF(N7="Green",C7*0.18,0)</f>
        <v>22500</v>
      </c>
    </row>
    <row r="8" customFormat="false" ht="15" hidden="false" customHeight="true" outlineLevel="0" collapsed="false">
      <c r="A8" s="6" t="str">
        <f aca="false">Raw_Telemetry!A8</f>
        <v>ID-1007</v>
      </c>
      <c r="B8" s="6" t="str">
        <f aca="false">Raw_Telemetry!B8</f>
        <v>Metro FMCG Partners</v>
      </c>
      <c r="C8" s="7" t="n">
        <f aca="false">Raw_Telemetry!C8</f>
        <v>155000</v>
      </c>
      <c r="D8" s="6" t="n">
        <f aca="false">Raw_Telemetry!D8</f>
        <v>134</v>
      </c>
      <c r="E8" s="6" t="n">
        <f aca="false">Raw_Telemetry!E8</f>
        <v>96</v>
      </c>
      <c r="F8" s="6" t="n">
        <f aca="false">Raw_Telemetry!F8</f>
        <v>12.5</v>
      </c>
      <c r="G8" s="6" t="n">
        <f aca="false">Raw_Telemetry!G8</f>
        <v>1</v>
      </c>
      <c r="H8" s="6" t="str">
        <f aca="false">Raw_Telemetry!H8</f>
        <v>Engaged</v>
      </c>
      <c r="I8" s="8" t="n">
        <f aca="false">E8</f>
        <v>96</v>
      </c>
      <c r="J8" s="8" t="n">
        <f aca="false">MEDIAN(0,(F8+20)*2.5,100)</f>
        <v>81.25</v>
      </c>
      <c r="K8" s="8" t="n">
        <f aca="false">MAX(0,100-(G8*4))</f>
        <v>96</v>
      </c>
      <c r="L8" s="8" t="n">
        <f aca="false">_xlfn.IFS(H8="Engaged",100,H8="Passive",60,H8="None",25,H8="Champion Departed",10)</f>
        <v>100</v>
      </c>
      <c r="M8" s="9" t="n">
        <f aca="false">ROUND(0.4*I8+0.25*J8+0.2*K8+0.15*L8,1)</f>
        <v>92.9</v>
      </c>
      <c r="N8" s="10" t="str">
        <f aca="false">IF(M8&gt;=72,"Green",IF(M8&gt;=52,"Yellow","Red"))</f>
        <v>Green</v>
      </c>
      <c r="O8" s="11" t="n">
        <f aca="false">IF(AND(N8="Red",OR(H8="None",H8="Champion Departed"),E8&lt;45),C8,0)</f>
        <v>0</v>
      </c>
      <c r="P8" s="11" t="n">
        <f aca="false">IF(AND(N8="Red",O8=0),C8*0.15,0)</f>
        <v>0</v>
      </c>
      <c r="Q8" s="11" t="n">
        <f aca="false">IF(N8="Green",C8*0.18,0)</f>
        <v>27900</v>
      </c>
    </row>
    <row r="9" customFormat="false" ht="15" hidden="false" customHeight="true" outlineLevel="0" collapsed="false">
      <c r="A9" s="6" t="str">
        <f aca="false">Raw_Telemetry!A9</f>
        <v>ID-1008</v>
      </c>
      <c r="B9" s="6" t="str">
        <f aca="false">Raw_Telemetry!B9</f>
        <v>Veer Sales Agency</v>
      </c>
      <c r="C9" s="7" t="n">
        <f aca="false">Raw_Telemetry!C9</f>
        <v>178000</v>
      </c>
      <c r="D9" s="6" t="n">
        <f aca="false">Raw_Telemetry!D9</f>
        <v>148</v>
      </c>
      <c r="E9" s="6" t="n">
        <f aca="false">Raw_Telemetry!E9</f>
        <v>83</v>
      </c>
      <c r="F9" s="6" t="n">
        <f aca="false">Raw_Telemetry!F9</f>
        <v>1.4</v>
      </c>
      <c r="G9" s="6" t="n">
        <f aca="false">Raw_Telemetry!G9</f>
        <v>13</v>
      </c>
      <c r="H9" s="6" t="str">
        <f aca="false">Raw_Telemetry!H9</f>
        <v>Engaged</v>
      </c>
      <c r="I9" s="8" t="n">
        <f aca="false">E9</f>
        <v>83</v>
      </c>
      <c r="J9" s="8" t="n">
        <f aca="false">MEDIAN(0,(F9+20)*2.5,100)</f>
        <v>53.5</v>
      </c>
      <c r="K9" s="8" t="n">
        <f aca="false">MAX(0,100-(G9*4))</f>
        <v>48</v>
      </c>
      <c r="L9" s="8" t="n">
        <f aca="false">_xlfn.IFS(H9="Engaged",100,H9="Passive",60,H9="None",25,H9="Champion Departed",10)</f>
        <v>100</v>
      </c>
      <c r="M9" s="9" t="n">
        <f aca="false">ROUND(0.4*I9+0.25*J9+0.2*K9+0.15*L9,1)</f>
        <v>71.2</v>
      </c>
      <c r="N9" s="10" t="str">
        <f aca="false">IF(M9&gt;=72,"Green",IF(M9&gt;=52,"Yellow","Red"))</f>
        <v>Yellow</v>
      </c>
      <c r="O9" s="11" t="n">
        <f aca="false">IF(AND(N9="Red",OR(H9="None",H9="Champion Departed"),E9&lt;45),C9,0)</f>
        <v>0</v>
      </c>
      <c r="P9" s="11" t="n">
        <f aca="false">IF(AND(N9="Red",O9=0),C9*0.15,0)</f>
        <v>0</v>
      </c>
      <c r="Q9" s="11" t="n">
        <f aca="false">IF(N9="Green",C9*0.18,0)</f>
        <v>0</v>
      </c>
    </row>
    <row r="10" customFormat="false" ht="15" hidden="false" customHeight="true" outlineLevel="0" collapsed="false">
      <c r="A10" s="6" t="str">
        <f aca="false">Raw_Telemetry!A10</f>
        <v>ID-1009</v>
      </c>
      <c r="B10" s="6" t="str">
        <f aca="false">Raw_Telemetry!B10</f>
        <v>Gulf Coast Snack Distributors</v>
      </c>
      <c r="C10" s="7" t="n">
        <f aca="false">Raw_Telemetry!C10</f>
        <v>28000</v>
      </c>
      <c r="D10" s="6" t="n">
        <f aca="false">Raw_Telemetry!D10</f>
        <v>24</v>
      </c>
      <c r="E10" s="6" t="n">
        <f aca="false">Raw_Telemetry!E10</f>
        <v>80</v>
      </c>
      <c r="F10" s="6" t="n">
        <f aca="false">Raw_Telemetry!F10</f>
        <v>-16.6</v>
      </c>
      <c r="G10" s="6" t="n">
        <f aca="false">Raw_Telemetry!G10</f>
        <v>8</v>
      </c>
      <c r="H10" s="6" t="str">
        <f aca="false">Raw_Telemetry!H10</f>
        <v>Engaged</v>
      </c>
      <c r="I10" s="8" t="n">
        <f aca="false">E10</f>
        <v>80</v>
      </c>
      <c r="J10" s="8" t="n">
        <f aca="false">MEDIAN(0,(F10+20)*2.5,100)</f>
        <v>8.5</v>
      </c>
      <c r="K10" s="8" t="n">
        <f aca="false">MAX(0,100-(G10*4))</f>
        <v>68</v>
      </c>
      <c r="L10" s="8" t="n">
        <f aca="false">_xlfn.IFS(H10="Engaged",100,H10="Passive",60,H10="None",25,H10="Champion Departed",10)</f>
        <v>100</v>
      </c>
      <c r="M10" s="9" t="n">
        <f aca="false">ROUND(0.4*I10+0.25*J10+0.2*K10+0.15*L10,1)</f>
        <v>62.7</v>
      </c>
      <c r="N10" s="10" t="str">
        <f aca="false">IF(M10&gt;=72,"Green",IF(M10&gt;=52,"Yellow","Red"))</f>
        <v>Yellow</v>
      </c>
      <c r="O10" s="11" t="n">
        <f aca="false">IF(AND(N10="Red",OR(H10="None",H10="Champion Departed"),E10&lt;45),C10,0)</f>
        <v>0</v>
      </c>
      <c r="P10" s="11" t="n">
        <f aca="false">IF(AND(N10="Red",O10=0),C10*0.15,0)</f>
        <v>0</v>
      </c>
      <c r="Q10" s="11" t="n">
        <f aca="false">IF(N10="Green",C10*0.18,0)</f>
        <v>0</v>
      </c>
    </row>
    <row r="11" customFormat="false" ht="15" hidden="false" customHeight="true" outlineLevel="0" collapsed="false">
      <c r="A11" s="6" t="str">
        <f aca="false">Raw_Telemetry!A11</f>
        <v>ID-1010</v>
      </c>
      <c r="B11" s="6" t="str">
        <f aca="false">Raw_Telemetry!B11</f>
        <v>Orion Pantry Supply</v>
      </c>
      <c r="C11" s="7" t="n">
        <f aca="false">Raw_Telemetry!C11</f>
        <v>47000</v>
      </c>
      <c r="D11" s="6" t="n">
        <f aca="false">Raw_Telemetry!D11</f>
        <v>47</v>
      </c>
      <c r="E11" s="6" t="n">
        <f aca="false">Raw_Telemetry!E11</f>
        <v>66</v>
      </c>
      <c r="F11" s="6" t="n">
        <f aca="false">Raw_Telemetry!F11</f>
        <v>3.2</v>
      </c>
      <c r="G11" s="6" t="n">
        <f aca="false">Raw_Telemetry!G11</f>
        <v>8</v>
      </c>
      <c r="H11" s="6" t="str">
        <f aca="false">Raw_Telemetry!H11</f>
        <v>None</v>
      </c>
      <c r="I11" s="8" t="n">
        <f aca="false">E11</f>
        <v>66</v>
      </c>
      <c r="J11" s="8" t="n">
        <f aca="false">MEDIAN(0,(F11+20)*2.5,100)</f>
        <v>58</v>
      </c>
      <c r="K11" s="8" t="n">
        <f aca="false">MAX(0,100-(G11*4))</f>
        <v>68</v>
      </c>
      <c r="L11" s="8" t="n">
        <f aca="false">_xlfn.IFS(H11="Engaged",100,H11="Passive",60,H11="None",25,H11="Champion Departed",10)</f>
        <v>25</v>
      </c>
      <c r="M11" s="9" t="n">
        <f aca="false">ROUND(0.4*I11+0.25*J11+0.2*K11+0.15*L11,1)</f>
        <v>58.3</v>
      </c>
      <c r="N11" s="10" t="str">
        <f aca="false">IF(M11&gt;=72,"Green",IF(M11&gt;=52,"Yellow","Red"))</f>
        <v>Yellow</v>
      </c>
      <c r="O11" s="11" t="n">
        <f aca="false">IF(AND(N11="Red",OR(H11="None",H11="Champion Departed"),E11&lt;45),C11,0)</f>
        <v>0</v>
      </c>
      <c r="P11" s="11" t="n">
        <f aca="false">IF(AND(N11="Red",O11=0),C11*0.15,0)</f>
        <v>0</v>
      </c>
      <c r="Q11" s="11" t="n">
        <f aca="false">IF(N11="Green",C11*0.18,0)</f>
        <v>0</v>
      </c>
    </row>
    <row r="12" customFormat="false" ht="15" hidden="false" customHeight="true" outlineLevel="0" collapsed="false">
      <c r="A12" s="6" t="str">
        <f aca="false">Raw_Telemetry!A12</f>
        <v>ID-1011</v>
      </c>
      <c r="B12" s="6" t="str">
        <f aca="false">Raw_Telemetry!B12</f>
        <v>Rajdhani Enterprises</v>
      </c>
      <c r="C12" s="7" t="n">
        <f aca="false">Raw_Telemetry!C12</f>
        <v>125000</v>
      </c>
      <c r="D12" s="6" t="n">
        <f aca="false">Raw_Telemetry!D12</f>
        <v>117</v>
      </c>
      <c r="E12" s="6" t="n">
        <f aca="false">Raw_Telemetry!E12</f>
        <v>69</v>
      </c>
      <c r="F12" s="6" t="n">
        <f aca="false">Raw_Telemetry!F12</f>
        <v>4.9</v>
      </c>
      <c r="G12" s="6" t="n">
        <f aca="false">Raw_Telemetry!G12</f>
        <v>9</v>
      </c>
      <c r="H12" s="6" t="str">
        <f aca="false">Raw_Telemetry!H12</f>
        <v>Passive</v>
      </c>
      <c r="I12" s="8" t="n">
        <f aca="false">E12</f>
        <v>69</v>
      </c>
      <c r="J12" s="8" t="n">
        <f aca="false">MEDIAN(0,(F12+20)*2.5,100)</f>
        <v>62.25</v>
      </c>
      <c r="K12" s="8" t="n">
        <f aca="false">MAX(0,100-(G12*4))</f>
        <v>64</v>
      </c>
      <c r="L12" s="8" t="n">
        <f aca="false">_xlfn.IFS(H12="Engaged",100,H12="Passive",60,H12="None",25,H12="Champion Departed",10)</f>
        <v>60</v>
      </c>
      <c r="M12" s="9" t="n">
        <f aca="false">ROUND(0.4*I12+0.25*J12+0.2*K12+0.15*L12,1)</f>
        <v>65</v>
      </c>
      <c r="N12" s="10" t="str">
        <f aca="false">IF(M12&gt;=72,"Green",IF(M12&gt;=52,"Yellow","Red"))</f>
        <v>Yellow</v>
      </c>
      <c r="O12" s="11" t="n">
        <f aca="false">IF(AND(N12="Red",OR(H12="None",H12="Champion Departed"),E12&lt;45),C12,0)</f>
        <v>0</v>
      </c>
      <c r="P12" s="11" t="n">
        <f aca="false">IF(AND(N12="Red",O12=0),C12*0.15,0)</f>
        <v>0</v>
      </c>
      <c r="Q12" s="11" t="n">
        <f aca="false">IF(N12="Green",C12*0.18,0)</f>
        <v>0</v>
      </c>
    </row>
    <row r="13" customFormat="false" ht="15" hidden="false" customHeight="true" outlineLevel="0" collapsed="false">
      <c r="A13" s="6" t="str">
        <f aca="false">Raw_Telemetry!A13</f>
        <v>ID-1012</v>
      </c>
      <c r="B13" s="6" t="str">
        <f aca="false">Raw_Telemetry!B13</f>
        <v>BlueRiver Foods Distribution</v>
      </c>
      <c r="C13" s="7" t="n">
        <f aca="false">Raw_Telemetry!C13</f>
        <v>444000</v>
      </c>
      <c r="D13" s="6" t="n">
        <f aca="false">Raw_Telemetry!D13</f>
        <v>438</v>
      </c>
      <c r="E13" s="6" t="n">
        <f aca="false">Raw_Telemetry!E13</f>
        <v>47</v>
      </c>
      <c r="F13" s="6" t="n">
        <f aca="false">Raw_Telemetry!F13</f>
        <v>-9.7</v>
      </c>
      <c r="G13" s="6" t="n">
        <f aca="false">Raw_Telemetry!G13</f>
        <v>12</v>
      </c>
      <c r="H13" s="6" t="str">
        <f aca="false">Raw_Telemetry!H13</f>
        <v>Passive</v>
      </c>
      <c r="I13" s="8" t="n">
        <f aca="false">E13</f>
        <v>47</v>
      </c>
      <c r="J13" s="8" t="n">
        <f aca="false">MEDIAN(0,(F13+20)*2.5,100)</f>
        <v>25.75</v>
      </c>
      <c r="K13" s="8" t="n">
        <f aca="false">MAX(0,100-(G13*4))</f>
        <v>52</v>
      </c>
      <c r="L13" s="8" t="n">
        <f aca="false">_xlfn.IFS(H13="Engaged",100,H13="Passive",60,H13="None",25,H13="Champion Departed",10)</f>
        <v>60</v>
      </c>
      <c r="M13" s="9" t="n">
        <f aca="false">ROUND(0.4*I13+0.25*J13+0.2*K13+0.15*L13,1)</f>
        <v>44.6</v>
      </c>
      <c r="N13" s="10" t="str">
        <f aca="false">IF(M13&gt;=72,"Green",IF(M13&gt;=52,"Yellow","Red"))</f>
        <v>Red</v>
      </c>
      <c r="O13" s="11" t="n">
        <f aca="false">IF(AND(N13="Red",OR(H13="None",H13="Champion Departed"),E13&lt;45),C13,0)</f>
        <v>0</v>
      </c>
      <c r="P13" s="11" t="n">
        <f aca="false">IF(AND(N13="Red",O13=0),C13*0.15,0)</f>
        <v>66600</v>
      </c>
      <c r="Q13" s="11" t="n">
        <f aca="false">IF(N13="Green",C13*0.18,0)</f>
        <v>0</v>
      </c>
    </row>
    <row r="14" customFormat="false" ht="15" hidden="false" customHeight="true" outlineLevel="0" collapsed="false">
      <c r="A14" s="6" t="str">
        <f aca="false">Raw_Telemetry!A14</f>
        <v>ID-1013</v>
      </c>
      <c r="B14" s="6" t="str">
        <f aca="false">Raw_Telemetry!B14</f>
        <v>Patel &amp; Sons Wholesale</v>
      </c>
      <c r="C14" s="7" t="n">
        <f aca="false">Raw_Telemetry!C14</f>
        <v>39000</v>
      </c>
      <c r="D14" s="6" t="n">
        <f aca="false">Raw_Telemetry!D14</f>
        <v>31</v>
      </c>
      <c r="E14" s="6" t="n">
        <f aca="false">Raw_Telemetry!E14</f>
        <v>72</v>
      </c>
      <c r="F14" s="6" t="n">
        <f aca="false">Raw_Telemetry!F14</f>
        <v>15.7</v>
      </c>
      <c r="G14" s="6" t="n">
        <f aca="false">Raw_Telemetry!G14</f>
        <v>12</v>
      </c>
      <c r="H14" s="6" t="str">
        <f aca="false">Raw_Telemetry!H14</f>
        <v>Engaged</v>
      </c>
      <c r="I14" s="8" t="n">
        <f aca="false">E14</f>
        <v>72</v>
      </c>
      <c r="J14" s="8" t="n">
        <f aca="false">MEDIAN(0,(F14+20)*2.5,100)</f>
        <v>89.25</v>
      </c>
      <c r="K14" s="8" t="n">
        <f aca="false">MAX(0,100-(G14*4))</f>
        <v>52</v>
      </c>
      <c r="L14" s="8" t="n">
        <f aca="false">_xlfn.IFS(H14="Engaged",100,H14="Passive",60,H14="None",25,H14="Champion Departed",10)</f>
        <v>100</v>
      </c>
      <c r="M14" s="9" t="n">
        <f aca="false">ROUND(0.4*I14+0.25*J14+0.2*K14+0.15*L14,1)</f>
        <v>76.5</v>
      </c>
      <c r="N14" s="10" t="str">
        <f aca="false">IF(M14&gt;=72,"Green",IF(M14&gt;=52,"Yellow","Red"))</f>
        <v>Green</v>
      </c>
      <c r="O14" s="11" t="n">
        <f aca="false">IF(AND(N14="Red",OR(H14="None",H14="Champion Departed"),E14&lt;45),C14,0)</f>
        <v>0</v>
      </c>
      <c r="P14" s="11" t="n">
        <f aca="false">IF(AND(N14="Red",O14=0),C14*0.15,0)</f>
        <v>0</v>
      </c>
      <c r="Q14" s="11" t="n">
        <f aca="false">IF(N14="Green",C14*0.18,0)</f>
        <v>7020</v>
      </c>
    </row>
    <row r="15" customFormat="false" ht="15" hidden="false" customHeight="true" outlineLevel="0" collapsed="false">
      <c r="A15" s="6" t="str">
        <f aca="false">Raw_Telemetry!A15</f>
        <v>ID-1014</v>
      </c>
      <c r="B15" s="6" t="str">
        <f aca="false">Raw_Telemetry!B15</f>
        <v>Crescent Consumer Network</v>
      </c>
      <c r="C15" s="7" t="n">
        <f aca="false">Raw_Telemetry!C15</f>
        <v>104000</v>
      </c>
      <c r="D15" s="6" t="n">
        <f aca="false">Raw_Telemetry!D15</f>
        <v>69</v>
      </c>
      <c r="E15" s="6" t="n">
        <f aca="false">Raw_Telemetry!E15</f>
        <v>46</v>
      </c>
      <c r="F15" s="6" t="n">
        <f aca="false">Raw_Telemetry!F15</f>
        <v>-9.8</v>
      </c>
      <c r="G15" s="6" t="n">
        <f aca="false">Raw_Telemetry!G15</f>
        <v>10</v>
      </c>
      <c r="H15" s="6" t="str">
        <f aca="false">Raw_Telemetry!H15</f>
        <v>Passive</v>
      </c>
      <c r="I15" s="8" t="n">
        <f aca="false">E15</f>
        <v>46</v>
      </c>
      <c r="J15" s="8" t="n">
        <f aca="false">MEDIAN(0,(F15+20)*2.5,100)</f>
        <v>25.5</v>
      </c>
      <c r="K15" s="8" t="n">
        <f aca="false">MAX(0,100-(G15*4))</f>
        <v>60</v>
      </c>
      <c r="L15" s="8" t="n">
        <f aca="false">_xlfn.IFS(H15="Engaged",100,H15="Passive",60,H15="None",25,H15="Champion Departed",10)</f>
        <v>60</v>
      </c>
      <c r="M15" s="9" t="n">
        <f aca="false">ROUND(0.4*I15+0.25*J15+0.2*K15+0.15*L15,1)</f>
        <v>45.8</v>
      </c>
      <c r="N15" s="10" t="str">
        <f aca="false">IF(M15&gt;=72,"Green",IF(M15&gt;=52,"Yellow","Red"))</f>
        <v>Red</v>
      </c>
      <c r="O15" s="11" t="n">
        <f aca="false">IF(AND(N15="Red",OR(H15="None",H15="Champion Departed"),E15&lt;45),C15,0)</f>
        <v>0</v>
      </c>
      <c r="P15" s="11" t="n">
        <f aca="false">IF(AND(N15="Red",O15=0),C15*0.15,0)</f>
        <v>15600</v>
      </c>
      <c r="Q15" s="11" t="n">
        <f aca="false">IF(N15="Green",C15*0.18,0)</f>
        <v>0</v>
      </c>
    </row>
    <row r="16" customFormat="false" ht="15" hidden="false" customHeight="true" outlineLevel="0" collapsed="false">
      <c r="A16" s="6" t="str">
        <f aca="false">Raw_Telemetry!A16</f>
        <v>ID-1015</v>
      </c>
      <c r="B16" s="6" t="str">
        <f aca="false">Raw_Telemetry!B16</f>
        <v>Sahara Retail Logistics</v>
      </c>
      <c r="C16" s="7" t="n">
        <f aca="false">Raw_Telemetry!C16</f>
        <v>35000</v>
      </c>
      <c r="D16" s="6" t="n">
        <f aca="false">Raw_Telemetry!D16</f>
        <v>23</v>
      </c>
      <c r="E16" s="6" t="n">
        <f aca="false">Raw_Telemetry!E16</f>
        <v>57</v>
      </c>
      <c r="F16" s="6" t="n">
        <f aca="false">Raw_Telemetry!F16</f>
        <v>3.7</v>
      </c>
      <c r="G16" s="6" t="n">
        <f aca="false">Raw_Telemetry!G16</f>
        <v>18</v>
      </c>
      <c r="H16" s="6" t="str">
        <f aca="false">Raw_Telemetry!H16</f>
        <v>None</v>
      </c>
      <c r="I16" s="8" t="n">
        <f aca="false">E16</f>
        <v>57</v>
      </c>
      <c r="J16" s="8" t="n">
        <f aca="false">MEDIAN(0,(F16+20)*2.5,100)</f>
        <v>59.25</v>
      </c>
      <c r="K16" s="8" t="n">
        <f aca="false">MAX(0,100-(G16*4))</f>
        <v>28</v>
      </c>
      <c r="L16" s="8" t="n">
        <f aca="false">_xlfn.IFS(H16="Engaged",100,H16="Passive",60,H16="None",25,H16="Champion Departed",10)</f>
        <v>25</v>
      </c>
      <c r="M16" s="9" t="n">
        <f aca="false">ROUND(0.4*I16+0.25*J16+0.2*K16+0.15*L16,1)</f>
        <v>47</v>
      </c>
      <c r="N16" s="10" t="str">
        <f aca="false">IF(M16&gt;=72,"Green",IF(M16&gt;=52,"Yellow","Red"))</f>
        <v>Red</v>
      </c>
      <c r="O16" s="11" t="n">
        <f aca="false">IF(AND(N16="Red",OR(H16="None",H16="Champion Departed"),E16&lt;45),C16,0)</f>
        <v>0</v>
      </c>
      <c r="P16" s="11" t="n">
        <f aca="false">IF(AND(N16="Red",O16=0),C16*0.15,0)</f>
        <v>5250</v>
      </c>
      <c r="Q16" s="11" t="n">
        <f aca="false">IF(N16="Green",C16*0.18,0)</f>
        <v>0</v>
      </c>
    </row>
    <row r="17" customFormat="false" ht="15" hidden="false" customHeight="true" outlineLevel="0" collapsed="false">
      <c r="A17" s="6" t="str">
        <f aca="false">Raw_Telemetry!A17</f>
        <v>ID-1016</v>
      </c>
      <c r="B17" s="6" t="str">
        <f aca="false">Raw_Telemetry!B17</f>
        <v>Pinnacle Dairy Distributors</v>
      </c>
      <c r="C17" s="7" t="n">
        <f aca="false">Raw_Telemetry!C17</f>
        <v>412000</v>
      </c>
      <c r="D17" s="6" t="n">
        <f aca="false">Raw_Telemetry!D17</f>
        <v>350</v>
      </c>
      <c r="E17" s="6" t="n">
        <f aca="false">Raw_Telemetry!E17</f>
        <v>73</v>
      </c>
      <c r="F17" s="6" t="n">
        <f aca="false">Raw_Telemetry!F17</f>
        <v>14.6</v>
      </c>
      <c r="G17" s="6" t="n">
        <f aca="false">Raw_Telemetry!G17</f>
        <v>1</v>
      </c>
      <c r="H17" s="6" t="str">
        <f aca="false">Raw_Telemetry!H17</f>
        <v>Engaged</v>
      </c>
      <c r="I17" s="8" t="n">
        <f aca="false">E17</f>
        <v>73</v>
      </c>
      <c r="J17" s="8" t="n">
        <f aca="false">MEDIAN(0,(F17+20)*2.5,100)</f>
        <v>86.5</v>
      </c>
      <c r="K17" s="8" t="n">
        <f aca="false">MAX(0,100-(G17*4))</f>
        <v>96</v>
      </c>
      <c r="L17" s="8" t="n">
        <f aca="false">_xlfn.IFS(H17="Engaged",100,H17="Passive",60,H17="None",25,H17="Champion Departed",10)</f>
        <v>100</v>
      </c>
      <c r="M17" s="9" t="n">
        <f aca="false">ROUND(0.4*I17+0.25*J17+0.2*K17+0.15*L17,1)</f>
        <v>85</v>
      </c>
      <c r="N17" s="10" t="str">
        <f aca="false">IF(M17&gt;=72,"Green",IF(M17&gt;=52,"Yellow","Red"))</f>
        <v>Green</v>
      </c>
      <c r="O17" s="11" t="n">
        <f aca="false">IF(AND(N17="Red",OR(H17="None",H17="Champion Departed"),E17&lt;45),C17,0)</f>
        <v>0</v>
      </c>
      <c r="P17" s="11" t="n">
        <f aca="false">IF(AND(N17="Red",O17=0),C17*0.15,0)</f>
        <v>0</v>
      </c>
      <c r="Q17" s="11" t="n">
        <f aca="false">IF(N17="Green",C17*0.18,0)</f>
        <v>74160</v>
      </c>
    </row>
    <row r="18" customFormat="false" ht="15" hidden="false" customHeight="true" outlineLevel="0" collapsed="false">
      <c r="A18" s="6" t="str">
        <f aca="false">Raw_Telemetry!A18</f>
        <v>ID-1017</v>
      </c>
      <c r="B18" s="6" t="str">
        <f aca="false">Raw_Telemetry!B18</f>
        <v>Mahalaxmi Agencies</v>
      </c>
      <c r="C18" s="7" t="n">
        <f aca="false">Raw_Telemetry!C18</f>
        <v>203000</v>
      </c>
      <c r="D18" s="6" t="n">
        <f aca="false">Raw_Telemetry!D18</f>
        <v>145</v>
      </c>
      <c r="E18" s="6" t="n">
        <f aca="false">Raw_Telemetry!E18</f>
        <v>80</v>
      </c>
      <c r="F18" s="6" t="n">
        <f aca="false">Raw_Telemetry!F18</f>
        <v>9.2</v>
      </c>
      <c r="G18" s="6" t="n">
        <f aca="false">Raw_Telemetry!G18</f>
        <v>8</v>
      </c>
      <c r="H18" s="6" t="str">
        <f aca="false">Raw_Telemetry!H18</f>
        <v>Engaged</v>
      </c>
      <c r="I18" s="8" t="n">
        <f aca="false">E18</f>
        <v>80</v>
      </c>
      <c r="J18" s="8" t="n">
        <f aca="false">MEDIAN(0,(F18+20)*2.5,100)</f>
        <v>73</v>
      </c>
      <c r="K18" s="8" t="n">
        <f aca="false">MAX(0,100-(G18*4))</f>
        <v>68</v>
      </c>
      <c r="L18" s="8" t="n">
        <f aca="false">_xlfn.IFS(H18="Engaged",100,H18="Passive",60,H18="None",25,H18="Champion Departed",10)</f>
        <v>100</v>
      </c>
      <c r="M18" s="9" t="n">
        <f aca="false">ROUND(0.4*I18+0.25*J18+0.2*K18+0.15*L18,1)</f>
        <v>78.9</v>
      </c>
      <c r="N18" s="10" t="str">
        <f aca="false">IF(M18&gt;=72,"Green",IF(M18&gt;=52,"Yellow","Red"))</f>
        <v>Green</v>
      </c>
      <c r="O18" s="11" t="n">
        <f aca="false">IF(AND(N18="Red",OR(H18="None",H18="Champion Departed"),E18&lt;45),C18,0)</f>
        <v>0</v>
      </c>
      <c r="P18" s="11" t="n">
        <f aca="false">IF(AND(N18="Red",O18=0),C18*0.15,0)</f>
        <v>0</v>
      </c>
      <c r="Q18" s="11" t="n">
        <f aca="false">IF(N18="Green",C18*0.18,0)</f>
        <v>36540</v>
      </c>
    </row>
    <row r="19" customFormat="false" ht="15" hidden="false" customHeight="true" outlineLevel="0" collapsed="false">
      <c r="A19" s="6" t="str">
        <f aca="false">Raw_Telemetry!A19</f>
        <v>ID-1018</v>
      </c>
      <c r="B19" s="6" t="str">
        <f aca="false">Raw_Telemetry!B19</f>
        <v>Zenith Household Goods</v>
      </c>
      <c r="C19" s="7" t="n">
        <f aca="false">Raw_Telemetry!C19</f>
        <v>172000</v>
      </c>
      <c r="D19" s="6" t="n">
        <f aca="false">Raw_Telemetry!D19</f>
        <v>123</v>
      </c>
      <c r="E19" s="6" t="n">
        <f aca="false">Raw_Telemetry!E19</f>
        <v>35</v>
      </c>
      <c r="F19" s="6" t="n">
        <f aca="false">Raw_Telemetry!F19</f>
        <v>-22.5</v>
      </c>
      <c r="G19" s="6" t="n">
        <f aca="false">Raw_Telemetry!G19</f>
        <v>13</v>
      </c>
      <c r="H19" s="6" t="str">
        <f aca="false">Raw_Telemetry!H19</f>
        <v>None</v>
      </c>
      <c r="I19" s="8" t="n">
        <f aca="false">E19</f>
        <v>35</v>
      </c>
      <c r="J19" s="8" t="n">
        <f aca="false">MEDIAN(0,(F19+20)*2.5,100)</f>
        <v>0</v>
      </c>
      <c r="K19" s="8" t="n">
        <f aca="false">MAX(0,100-(G19*4))</f>
        <v>48</v>
      </c>
      <c r="L19" s="8" t="n">
        <f aca="false">_xlfn.IFS(H19="Engaged",100,H19="Passive",60,H19="None",25,H19="Champion Departed",10)</f>
        <v>25</v>
      </c>
      <c r="M19" s="9" t="n">
        <f aca="false">ROUND(0.4*I19+0.25*J19+0.2*K19+0.15*L19,1)</f>
        <v>27.4</v>
      </c>
      <c r="N19" s="10" t="str">
        <f aca="false">IF(M19&gt;=72,"Green",IF(M19&gt;=52,"Yellow","Red"))</f>
        <v>Red</v>
      </c>
      <c r="O19" s="11" t="n">
        <f aca="false">IF(AND(N19="Red",OR(H19="None",H19="Champion Departed"),E19&lt;45),C19,0)</f>
        <v>172000</v>
      </c>
      <c r="P19" s="11" t="n">
        <f aca="false">IF(AND(N19="Red",O19=0),C19*0.15,0)</f>
        <v>0</v>
      </c>
      <c r="Q19" s="11" t="n">
        <f aca="false">IF(N19="Green",C19*0.18,0)</f>
        <v>0</v>
      </c>
    </row>
    <row r="20" customFormat="false" ht="15" hidden="false" customHeight="true" outlineLevel="0" collapsed="false">
      <c r="A20" s="6" t="str">
        <f aca="false">Raw_Telemetry!A20</f>
        <v>ID-1019</v>
      </c>
      <c r="B20" s="6" t="str">
        <f aca="false">Raw_Telemetry!B20</f>
        <v>Alpine Fresh Distribution</v>
      </c>
      <c r="C20" s="7" t="n">
        <f aca="false">Raw_Telemetry!C20</f>
        <v>221000</v>
      </c>
      <c r="D20" s="6" t="n">
        <f aca="false">Raw_Telemetry!D20</f>
        <v>181</v>
      </c>
      <c r="E20" s="6" t="n">
        <f aca="false">Raw_Telemetry!E20</f>
        <v>29</v>
      </c>
      <c r="F20" s="6" t="n">
        <f aca="false">Raw_Telemetry!F20</f>
        <v>-1</v>
      </c>
      <c r="G20" s="6" t="n">
        <f aca="false">Raw_Telemetry!G20</f>
        <v>15</v>
      </c>
      <c r="H20" s="6" t="str">
        <f aca="false">Raw_Telemetry!H20</f>
        <v>None</v>
      </c>
      <c r="I20" s="8" t="n">
        <f aca="false">E20</f>
        <v>29</v>
      </c>
      <c r="J20" s="8" t="n">
        <f aca="false">MEDIAN(0,(F20+20)*2.5,100)</f>
        <v>47.5</v>
      </c>
      <c r="K20" s="8" t="n">
        <f aca="false">MAX(0,100-(G20*4))</f>
        <v>40</v>
      </c>
      <c r="L20" s="8" t="n">
        <f aca="false">_xlfn.IFS(H20="Engaged",100,H20="Passive",60,H20="None",25,H20="Champion Departed",10)</f>
        <v>25</v>
      </c>
      <c r="M20" s="9" t="n">
        <f aca="false">ROUND(0.4*I20+0.25*J20+0.2*K20+0.15*L20,1)</f>
        <v>35.2</v>
      </c>
      <c r="N20" s="10" t="str">
        <f aca="false">IF(M20&gt;=72,"Green",IF(M20&gt;=52,"Yellow","Red"))</f>
        <v>Red</v>
      </c>
      <c r="O20" s="11" t="n">
        <f aca="false">IF(AND(N20="Red",OR(H20="None",H20="Champion Departed"),E20&lt;45),C20,0)</f>
        <v>221000</v>
      </c>
      <c r="P20" s="11" t="n">
        <f aca="false">IF(AND(N20="Red",O20=0),C20*0.15,0)</f>
        <v>0</v>
      </c>
      <c r="Q20" s="11" t="n">
        <f aca="false">IF(N20="Green",C20*0.18,0)</f>
        <v>0</v>
      </c>
    </row>
    <row r="21" customFormat="false" ht="15" hidden="false" customHeight="true" outlineLevel="0" collapsed="false">
      <c r="A21" s="6" t="str">
        <f aca="false">Raw_Telemetry!A21</f>
        <v>ID-1020</v>
      </c>
      <c r="B21" s="6" t="str">
        <f aca="false">Raw_Telemetry!B21</f>
        <v>Deccan Retail Partners</v>
      </c>
      <c r="C21" s="7" t="n">
        <f aca="false">Raw_Telemetry!C21</f>
        <v>335000</v>
      </c>
      <c r="D21" s="6" t="n">
        <f aca="false">Raw_Telemetry!D21</f>
        <v>322</v>
      </c>
      <c r="E21" s="6" t="n">
        <f aca="false">Raw_Telemetry!E21</f>
        <v>84</v>
      </c>
      <c r="F21" s="6" t="n">
        <f aca="false">Raw_Telemetry!F21</f>
        <v>23</v>
      </c>
      <c r="G21" s="6" t="n">
        <f aca="false">Raw_Telemetry!G21</f>
        <v>15</v>
      </c>
      <c r="H21" s="6" t="str">
        <f aca="false">Raw_Telemetry!H21</f>
        <v>Passive</v>
      </c>
      <c r="I21" s="8" t="n">
        <f aca="false">E21</f>
        <v>84</v>
      </c>
      <c r="J21" s="8" t="n">
        <f aca="false">MEDIAN(0,(F21+20)*2.5,100)</f>
        <v>100</v>
      </c>
      <c r="K21" s="8" t="n">
        <f aca="false">MAX(0,100-(G21*4))</f>
        <v>40</v>
      </c>
      <c r="L21" s="8" t="n">
        <f aca="false">_xlfn.IFS(H21="Engaged",100,H21="Passive",60,H21="None",25,H21="Champion Departed",10)</f>
        <v>60</v>
      </c>
      <c r="M21" s="9" t="n">
        <f aca="false">ROUND(0.4*I21+0.25*J21+0.2*K21+0.15*L21,1)</f>
        <v>75.6</v>
      </c>
      <c r="N21" s="10" t="str">
        <f aca="false">IF(M21&gt;=72,"Green",IF(M21&gt;=52,"Yellow","Red"))</f>
        <v>Green</v>
      </c>
      <c r="O21" s="11" t="n">
        <f aca="false">IF(AND(N21="Red",OR(H21="None",H21="Champion Departed"),E21&lt;45),C21,0)</f>
        <v>0</v>
      </c>
      <c r="P21" s="11" t="n">
        <f aca="false">IF(AND(N21="Red",O21=0),C21*0.15,0)</f>
        <v>0</v>
      </c>
      <c r="Q21" s="11" t="n">
        <f aca="false">IF(N21="Green",C21*0.18,0)</f>
        <v>60300</v>
      </c>
    </row>
    <row r="22" customFormat="false" ht="15" hidden="false" customHeight="true" outlineLevel="0" collapsed="false">
      <c r="A22" s="6" t="str">
        <f aca="false">Raw_Telemetry!A22</f>
        <v>ID-1021</v>
      </c>
      <c r="B22" s="6" t="str">
        <f aca="false">Raw_Telemetry!B22</f>
        <v>Silverline Beverages</v>
      </c>
      <c r="C22" s="7" t="n">
        <f aca="false">Raw_Telemetry!C22</f>
        <v>416000</v>
      </c>
      <c r="D22" s="6" t="n">
        <f aca="false">Raw_Telemetry!D22</f>
        <v>390</v>
      </c>
      <c r="E22" s="6" t="n">
        <f aca="false">Raw_Telemetry!E22</f>
        <v>81</v>
      </c>
      <c r="F22" s="6" t="n">
        <f aca="false">Raw_Telemetry!F22</f>
        <v>10.7</v>
      </c>
      <c r="G22" s="6" t="n">
        <f aca="false">Raw_Telemetry!G22</f>
        <v>2</v>
      </c>
      <c r="H22" s="6" t="str">
        <f aca="false">Raw_Telemetry!H22</f>
        <v>Engaged</v>
      </c>
      <c r="I22" s="8" t="n">
        <f aca="false">E22</f>
        <v>81</v>
      </c>
      <c r="J22" s="8" t="n">
        <f aca="false">MEDIAN(0,(F22+20)*2.5,100)</f>
        <v>76.75</v>
      </c>
      <c r="K22" s="8" t="n">
        <f aca="false">MAX(0,100-(G22*4))</f>
        <v>92</v>
      </c>
      <c r="L22" s="8" t="n">
        <f aca="false">_xlfn.IFS(H22="Engaged",100,H22="Passive",60,H22="None",25,H22="Champion Departed",10)</f>
        <v>100</v>
      </c>
      <c r="M22" s="9" t="n">
        <f aca="false">ROUND(0.4*I22+0.25*J22+0.2*K22+0.15*L22,1)</f>
        <v>85</v>
      </c>
      <c r="N22" s="10" t="str">
        <f aca="false">IF(M22&gt;=72,"Green",IF(M22&gt;=52,"Yellow","Red"))</f>
        <v>Green</v>
      </c>
      <c r="O22" s="11" t="n">
        <f aca="false">IF(AND(N22="Red",OR(H22="None",H22="Champion Departed"),E22&lt;45),C22,0)</f>
        <v>0</v>
      </c>
      <c r="P22" s="11" t="n">
        <f aca="false">IF(AND(N22="Red",O22=0),C22*0.15,0)</f>
        <v>0</v>
      </c>
      <c r="Q22" s="11" t="n">
        <f aca="false">IF(N22="Green",C22*0.18,0)</f>
        <v>74880</v>
      </c>
    </row>
    <row r="23" customFormat="false" ht="15" hidden="false" customHeight="true" outlineLevel="0" collapsed="false">
      <c r="A23" s="6" t="str">
        <f aca="false">Raw_Telemetry!A23</f>
        <v>ID-1022</v>
      </c>
      <c r="B23" s="6" t="str">
        <f aca="false">Raw_Telemetry!B23</f>
        <v>Anand Marketing Co</v>
      </c>
      <c r="C23" s="7" t="n">
        <f aca="false">Raw_Telemetry!C23</f>
        <v>327000</v>
      </c>
      <c r="D23" s="6" t="n">
        <f aca="false">Raw_Telemetry!D23</f>
        <v>268</v>
      </c>
      <c r="E23" s="6" t="n">
        <f aca="false">Raw_Telemetry!E23</f>
        <v>92</v>
      </c>
      <c r="F23" s="6" t="n">
        <f aca="false">Raw_Telemetry!F23</f>
        <v>10.7</v>
      </c>
      <c r="G23" s="6" t="n">
        <f aca="false">Raw_Telemetry!G23</f>
        <v>12</v>
      </c>
      <c r="H23" s="6" t="str">
        <f aca="false">Raw_Telemetry!H23</f>
        <v>Engaged</v>
      </c>
      <c r="I23" s="8" t="n">
        <f aca="false">E23</f>
        <v>92</v>
      </c>
      <c r="J23" s="8" t="n">
        <f aca="false">MEDIAN(0,(F23+20)*2.5,100)</f>
        <v>76.75</v>
      </c>
      <c r="K23" s="8" t="n">
        <f aca="false">MAX(0,100-(G23*4))</f>
        <v>52</v>
      </c>
      <c r="L23" s="8" t="n">
        <f aca="false">_xlfn.IFS(H23="Engaged",100,H23="Passive",60,H23="None",25,H23="Champion Departed",10)</f>
        <v>100</v>
      </c>
      <c r="M23" s="9" t="n">
        <f aca="false">ROUND(0.4*I23+0.25*J23+0.2*K23+0.15*L23,1)</f>
        <v>81.4</v>
      </c>
      <c r="N23" s="10" t="str">
        <f aca="false">IF(M23&gt;=72,"Green",IF(M23&gt;=52,"Yellow","Red"))</f>
        <v>Green</v>
      </c>
      <c r="O23" s="11" t="n">
        <f aca="false">IF(AND(N23="Red",OR(H23="None",H23="Champion Departed"),E23&lt;45),C23,0)</f>
        <v>0</v>
      </c>
      <c r="P23" s="11" t="n">
        <f aca="false">IF(AND(N23="Red",O23=0),C23*0.15,0)</f>
        <v>0</v>
      </c>
      <c r="Q23" s="11" t="n">
        <f aca="false">IF(N23="Green",C23*0.18,0)</f>
        <v>58860</v>
      </c>
    </row>
    <row r="24" customFormat="false" ht="15" hidden="false" customHeight="true" outlineLevel="0" collapsed="false">
      <c r="A24" s="6" t="str">
        <f aca="false">Raw_Telemetry!A24</f>
        <v>ID-1023</v>
      </c>
      <c r="B24" s="6" t="str">
        <f aca="false">Raw_Telemetry!B24</f>
        <v>Trident Consumer Supply</v>
      </c>
      <c r="C24" s="7" t="n">
        <f aca="false">Raw_Telemetry!C24</f>
        <v>191000</v>
      </c>
      <c r="D24" s="6" t="n">
        <f aca="false">Raw_Telemetry!D24</f>
        <v>126</v>
      </c>
      <c r="E24" s="6" t="n">
        <f aca="false">Raw_Telemetry!E24</f>
        <v>75</v>
      </c>
      <c r="F24" s="6" t="n">
        <f aca="false">Raw_Telemetry!F24</f>
        <v>17.5</v>
      </c>
      <c r="G24" s="6" t="n">
        <f aca="false">Raw_Telemetry!G24</f>
        <v>7</v>
      </c>
      <c r="H24" s="6" t="str">
        <f aca="false">Raw_Telemetry!H24</f>
        <v>Passive</v>
      </c>
      <c r="I24" s="8" t="n">
        <f aca="false">E24</f>
        <v>75</v>
      </c>
      <c r="J24" s="8" t="n">
        <f aca="false">MEDIAN(0,(F24+20)*2.5,100)</f>
        <v>93.75</v>
      </c>
      <c r="K24" s="8" t="n">
        <f aca="false">MAX(0,100-(G24*4))</f>
        <v>72</v>
      </c>
      <c r="L24" s="8" t="n">
        <f aca="false">_xlfn.IFS(H24="Engaged",100,H24="Passive",60,H24="None",25,H24="Champion Departed",10)</f>
        <v>60</v>
      </c>
      <c r="M24" s="9" t="n">
        <f aca="false">ROUND(0.4*I24+0.25*J24+0.2*K24+0.15*L24,1)</f>
        <v>76.8</v>
      </c>
      <c r="N24" s="10" t="str">
        <f aca="false">IF(M24&gt;=72,"Green",IF(M24&gt;=52,"Yellow","Red"))</f>
        <v>Green</v>
      </c>
      <c r="O24" s="11" t="n">
        <f aca="false">IF(AND(N24="Red",OR(H24="None",H24="Champion Departed"),E24&lt;45),C24,0)</f>
        <v>0</v>
      </c>
      <c r="P24" s="11" t="n">
        <f aca="false">IF(AND(N24="Red",O24=0),C24*0.15,0)</f>
        <v>0</v>
      </c>
      <c r="Q24" s="11" t="n">
        <f aca="false">IF(N24="Green",C24*0.18,0)</f>
        <v>34380</v>
      </c>
    </row>
    <row r="25" customFormat="false" ht="15" hidden="false" customHeight="true" outlineLevel="0" collapsed="false">
      <c r="A25" s="6" t="str">
        <f aca="false">Raw_Telemetry!A25</f>
        <v>ID-1024</v>
      </c>
      <c r="B25" s="6" t="str">
        <f aca="false">Raw_Telemetry!B25</f>
        <v>Ravi Distributors Pvt Ltd</v>
      </c>
      <c r="C25" s="7" t="n">
        <f aca="false">Raw_Telemetry!C25</f>
        <v>192000</v>
      </c>
      <c r="D25" s="6" t="n">
        <f aca="false">Raw_Telemetry!D25</f>
        <v>134</v>
      </c>
      <c r="E25" s="6" t="n">
        <f aca="false">Raw_Telemetry!E25</f>
        <v>69</v>
      </c>
      <c r="F25" s="6" t="n">
        <f aca="false">Raw_Telemetry!F25</f>
        <v>4.4</v>
      </c>
      <c r="G25" s="6" t="n">
        <f aca="false">Raw_Telemetry!G25</f>
        <v>4</v>
      </c>
      <c r="H25" s="6" t="str">
        <f aca="false">Raw_Telemetry!H25</f>
        <v>Engaged</v>
      </c>
      <c r="I25" s="8" t="n">
        <f aca="false">E25</f>
        <v>69</v>
      </c>
      <c r="J25" s="8" t="n">
        <f aca="false">MEDIAN(0,(F25+20)*2.5,100)</f>
        <v>61</v>
      </c>
      <c r="K25" s="8" t="n">
        <f aca="false">MAX(0,100-(G25*4))</f>
        <v>84</v>
      </c>
      <c r="L25" s="8" t="n">
        <f aca="false">_xlfn.IFS(H25="Engaged",100,H25="Passive",60,H25="None",25,H25="Champion Departed",10)</f>
        <v>100</v>
      </c>
      <c r="M25" s="9" t="n">
        <f aca="false">ROUND(0.4*I25+0.25*J25+0.2*K25+0.15*L25,1)</f>
        <v>74.7</v>
      </c>
      <c r="N25" s="10" t="str">
        <f aca="false">IF(M25&gt;=72,"Green",IF(M25&gt;=52,"Yellow","Red"))</f>
        <v>Green</v>
      </c>
      <c r="O25" s="11" t="n">
        <f aca="false">IF(AND(N25="Red",OR(H25="None",H25="Champion Departed"),E25&lt;45),C25,0)</f>
        <v>0</v>
      </c>
      <c r="P25" s="11" t="n">
        <f aca="false">IF(AND(N25="Red",O25=0),C25*0.15,0)</f>
        <v>0</v>
      </c>
      <c r="Q25" s="11" t="n">
        <f aca="false">IF(N25="Green",C25*0.18,0)</f>
        <v>34560</v>
      </c>
    </row>
    <row r="26" customFormat="false" ht="15" hidden="false" customHeight="true" outlineLevel="0" collapsed="false">
      <c r="A26" s="6" t="str">
        <f aca="false">Raw_Telemetry!A26</f>
        <v>ID-1025</v>
      </c>
      <c r="B26" s="6" t="str">
        <f aca="false">Raw_Telemetry!B26</f>
        <v>Harbour Point Wholesale</v>
      </c>
      <c r="C26" s="7" t="n">
        <f aca="false">Raw_Telemetry!C26</f>
        <v>235000</v>
      </c>
      <c r="D26" s="6" t="n">
        <f aca="false">Raw_Telemetry!D26</f>
        <v>213</v>
      </c>
      <c r="E26" s="6" t="n">
        <f aca="false">Raw_Telemetry!E26</f>
        <v>52</v>
      </c>
      <c r="F26" s="6" t="n">
        <f aca="false">Raw_Telemetry!F26</f>
        <v>-18</v>
      </c>
      <c r="G26" s="6" t="n">
        <f aca="false">Raw_Telemetry!G26</f>
        <v>11</v>
      </c>
      <c r="H26" s="6" t="str">
        <f aca="false">Raw_Telemetry!H26</f>
        <v>Champion Departed</v>
      </c>
      <c r="I26" s="8" t="n">
        <f aca="false">E26</f>
        <v>52</v>
      </c>
      <c r="J26" s="8" t="n">
        <f aca="false">MEDIAN(0,(F26+20)*2.5,100)</f>
        <v>5</v>
      </c>
      <c r="K26" s="8" t="n">
        <f aca="false">MAX(0,100-(G26*4))</f>
        <v>56</v>
      </c>
      <c r="L26" s="8" t="n">
        <f aca="false">_xlfn.IFS(H26="Engaged",100,H26="Passive",60,H26="None",25,H26="Champion Departed",10)</f>
        <v>10</v>
      </c>
      <c r="M26" s="9" t="n">
        <f aca="false">ROUND(0.4*I26+0.25*J26+0.2*K26+0.15*L26,1)</f>
        <v>34.8</v>
      </c>
      <c r="N26" s="10" t="str">
        <f aca="false">IF(M26&gt;=72,"Green",IF(M26&gt;=52,"Yellow","Red"))</f>
        <v>Red</v>
      </c>
      <c r="O26" s="11" t="n">
        <f aca="false">IF(AND(N26="Red",OR(H26="None",H26="Champion Departed"),E26&lt;45),C26,0)</f>
        <v>0</v>
      </c>
      <c r="P26" s="11" t="n">
        <f aca="false">IF(AND(N26="Red",O26=0),C26*0.15,0)</f>
        <v>35250</v>
      </c>
      <c r="Q26" s="11" t="n">
        <f aca="false">IF(N26="Green",C26*0.18,0)</f>
        <v>0</v>
      </c>
    </row>
    <row r="27" customFormat="false" ht="15" hidden="false" customHeight="true" outlineLevel="0" collapsed="false">
      <c r="A27" s="6" t="str">
        <f aca="false">Raw_Telemetry!A27</f>
        <v>ID-1026</v>
      </c>
      <c r="B27" s="6" t="str">
        <f aca="false">Raw_Telemetry!B27</f>
        <v>Evergreen Staples Co</v>
      </c>
      <c r="C27" s="7" t="n">
        <f aca="false">Raw_Telemetry!C27</f>
        <v>390000</v>
      </c>
      <c r="D27" s="6" t="n">
        <f aca="false">Raw_Telemetry!D27</f>
        <v>383</v>
      </c>
      <c r="E27" s="6" t="n">
        <f aca="false">Raw_Telemetry!E27</f>
        <v>91</v>
      </c>
      <c r="F27" s="6" t="n">
        <f aca="false">Raw_Telemetry!F27</f>
        <v>-6.7</v>
      </c>
      <c r="G27" s="6" t="n">
        <f aca="false">Raw_Telemetry!G27</f>
        <v>0</v>
      </c>
      <c r="H27" s="6" t="str">
        <f aca="false">Raw_Telemetry!H27</f>
        <v>Engaged</v>
      </c>
      <c r="I27" s="8" t="n">
        <f aca="false">E27</f>
        <v>91</v>
      </c>
      <c r="J27" s="8" t="n">
        <f aca="false">MEDIAN(0,(F27+20)*2.5,100)</f>
        <v>33.25</v>
      </c>
      <c r="K27" s="8" t="n">
        <f aca="false">MAX(0,100-(G27*4))</f>
        <v>100</v>
      </c>
      <c r="L27" s="8" t="n">
        <f aca="false">_xlfn.IFS(H27="Engaged",100,H27="Passive",60,H27="None",25,H27="Champion Departed",10)</f>
        <v>100</v>
      </c>
      <c r="M27" s="9" t="n">
        <f aca="false">ROUND(0.4*I27+0.25*J27+0.2*K27+0.15*L27,1)</f>
        <v>79.7</v>
      </c>
      <c r="N27" s="10" t="str">
        <f aca="false">IF(M27&gt;=72,"Green",IF(M27&gt;=52,"Yellow","Red"))</f>
        <v>Green</v>
      </c>
      <c r="O27" s="11" t="n">
        <f aca="false">IF(AND(N27="Red",OR(H27="None",H27="Champion Departed"),E27&lt;45),C27,0)</f>
        <v>0</v>
      </c>
      <c r="P27" s="11" t="n">
        <f aca="false">IF(AND(N27="Red",O27=0),C27*0.15,0)</f>
        <v>0</v>
      </c>
      <c r="Q27" s="11" t="n">
        <f aca="false">IF(N27="Green",C27*0.18,0)</f>
        <v>70200</v>
      </c>
    </row>
    <row r="28" customFormat="false" ht="15" hidden="false" customHeight="true" outlineLevel="0" collapsed="false">
      <c r="A28" s="6" t="str">
        <f aca="false">Raw_Telemetry!A28</f>
        <v>ID-1027</v>
      </c>
      <c r="B28" s="6" t="str">
        <f aca="false">Raw_Telemetry!B28</f>
        <v>Kohinoor Trading House</v>
      </c>
      <c r="C28" s="7" t="n">
        <f aca="false">Raw_Telemetry!C28</f>
        <v>125000</v>
      </c>
      <c r="D28" s="6" t="n">
        <f aca="false">Raw_Telemetry!D28</f>
        <v>125</v>
      </c>
      <c r="E28" s="6" t="n">
        <f aca="false">Raw_Telemetry!E28</f>
        <v>49</v>
      </c>
      <c r="F28" s="6" t="n">
        <f aca="false">Raw_Telemetry!F28</f>
        <v>6.3</v>
      </c>
      <c r="G28" s="6" t="n">
        <f aca="false">Raw_Telemetry!G28</f>
        <v>7</v>
      </c>
      <c r="H28" s="6" t="str">
        <f aca="false">Raw_Telemetry!H28</f>
        <v>None</v>
      </c>
      <c r="I28" s="8" t="n">
        <f aca="false">E28</f>
        <v>49</v>
      </c>
      <c r="J28" s="8" t="n">
        <f aca="false">MEDIAN(0,(F28+20)*2.5,100)</f>
        <v>65.75</v>
      </c>
      <c r="K28" s="8" t="n">
        <f aca="false">MAX(0,100-(G28*4))</f>
        <v>72</v>
      </c>
      <c r="L28" s="8" t="n">
        <f aca="false">_xlfn.IFS(H28="Engaged",100,H28="Passive",60,H28="None",25,H28="Champion Departed",10)</f>
        <v>25</v>
      </c>
      <c r="M28" s="9" t="n">
        <f aca="false">ROUND(0.4*I28+0.25*J28+0.2*K28+0.15*L28,1)</f>
        <v>54.2</v>
      </c>
      <c r="N28" s="10" t="str">
        <f aca="false">IF(M28&gt;=72,"Green",IF(M28&gt;=52,"Yellow","Red"))</f>
        <v>Yellow</v>
      </c>
      <c r="O28" s="11" t="n">
        <f aca="false">IF(AND(N28="Red",OR(H28="None",H28="Champion Departed"),E28&lt;45),C28,0)</f>
        <v>0</v>
      </c>
      <c r="P28" s="11" t="n">
        <f aca="false">IF(AND(N28="Red",O28=0),C28*0.15,0)</f>
        <v>0</v>
      </c>
      <c r="Q28" s="11" t="n">
        <f aca="false">IF(N28="Green",C28*0.18,0)</f>
        <v>0</v>
      </c>
    </row>
    <row r="29" customFormat="false" ht="15" hidden="false" customHeight="true" outlineLevel="0" collapsed="false">
      <c r="A29" s="6" t="str">
        <f aca="false">Raw_Telemetry!A29</f>
        <v>ID-1028</v>
      </c>
      <c r="B29" s="6" t="str">
        <f aca="false">Raw_Telemetry!B29</f>
        <v>Summit Snacks Distribution</v>
      </c>
      <c r="C29" s="7" t="n">
        <f aca="false">Raw_Telemetry!C29</f>
        <v>169000</v>
      </c>
      <c r="D29" s="6" t="n">
        <f aca="false">Raw_Telemetry!D29</f>
        <v>108</v>
      </c>
      <c r="E29" s="6" t="n">
        <f aca="false">Raw_Telemetry!E29</f>
        <v>25</v>
      </c>
      <c r="F29" s="6" t="n">
        <f aca="false">Raw_Telemetry!F29</f>
        <v>0.2</v>
      </c>
      <c r="G29" s="6" t="n">
        <f aca="false">Raw_Telemetry!G29</f>
        <v>14</v>
      </c>
      <c r="H29" s="6" t="str">
        <f aca="false">Raw_Telemetry!H29</f>
        <v>Champion Departed</v>
      </c>
      <c r="I29" s="8" t="n">
        <f aca="false">E29</f>
        <v>25</v>
      </c>
      <c r="J29" s="8" t="n">
        <f aca="false">MEDIAN(0,(F29+20)*2.5,100)</f>
        <v>50.5</v>
      </c>
      <c r="K29" s="8" t="n">
        <f aca="false">MAX(0,100-(G29*4))</f>
        <v>44</v>
      </c>
      <c r="L29" s="8" t="n">
        <f aca="false">_xlfn.IFS(H29="Engaged",100,H29="Passive",60,H29="None",25,H29="Champion Departed",10)</f>
        <v>10</v>
      </c>
      <c r="M29" s="9" t="n">
        <f aca="false">ROUND(0.4*I29+0.25*J29+0.2*K29+0.15*L29,1)</f>
        <v>32.9</v>
      </c>
      <c r="N29" s="10" t="str">
        <f aca="false">IF(M29&gt;=72,"Green",IF(M29&gt;=52,"Yellow","Red"))</f>
        <v>Red</v>
      </c>
      <c r="O29" s="11" t="n">
        <f aca="false">IF(AND(N29="Red",OR(H29="None",H29="Champion Departed"),E29&lt;45),C29,0)</f>
        <v>169000</v>
      </c>
      <c r="P29" s="11" t="n">
        <f aca="false">IF(AND(N29="Red",O29=0),C29*0.15,0)</f>
        <v>0</v>
      </c>
      <c r="Q29" s="11" t="n">
        <f aca="false">IF(N29="Green",C29*0.18,0)</f>
        <v>0</v>
      </c>
    </row>
    <row r="30" customFormat="false" ht="15" hidden="false" customHeight="true" outlineLevel="0" collapsed="false">
      <c r="A30" s="6" t="str">
        <f aca="false">Raw_Telemetry!A30</f>
        <v>ID-1029</v>
      </c>
      <c r="B30" s="6" t="str">
        <f aca="false">Raw_Telemetry!B30</f>
        <v>Nandi Consumer Products</v>
      </c>
      <c r="C30" s="7" t="n">
        <f aca="false">Raw_Telemetry!C30</f>
        <v>92000</v>
      </c>
      <c r="D30" s="6" t="n">
        <f aca="false">Raw_Telemetry!D30</f>
        <v>65</v>
      </c>
      <c r="E30" s="6" t="n">
        <f aca="false">Raw_Telemetry!E30</f>
        <v>82</v>
      </c>
      <c r="F30" s="6" t="n">
        <f aca="false">Raw_Telemetry!F30</f>
        <v>15.9</v>
      </c>
      <c r="G30" s="6" t="n">
        <f aca="false">Raw_Telemetry!G30</f>
        <v>5</v>
      </c>
      <c r="H30" s="6" t="str">
        <f aca="false">Raw_Telemetry!H30</f>
        <v>Engaged</v>
      </c>
      <c r="I30" s="8" t="n">
        <f aca="false">E30</f>
        <v>82</v>
      </c>
      <c r="J30" s="8" t="n">
        <f aca="false">MEDIAN(0,(F30+20)*2.5,100)</f>
        <v>89.75</v>
      </c>
      <c r="K30" s="8" t="n">
        <f aca="false">MAX(0,100-(G30*4))</f>
        <v>80</v>
      </c>
      <c r="L30" s="8" t="n">
        <f aca="false">_xlfn.IFS(H30="Engaged",100,H30="Passive",60,H30="None",25,H30="Champion Departed",10)</f>
        <v>100</v>
      </c>
      <c r="M30" s="9" t="n">
        <f aca="false">ROUND(0.4*I30+0.25*J30+0.2*K30+0.15*L30,1)</f>
        <v>86.2</v>
      </c>
      <c r="N30" s="10" t="str">
        <f aca="false">IF(M30&gt;=72,"Green",IF(M30&gt;=52,"Yellow","Red"))</f>
        <v>Green</v>
      </c>
      <c r="O30" s="11" t="n">
        <f aca="false">IF(AND(N30="Red",OR(H30="None",H30="Champion Departed"),E30&lt;45),C30,0)</f>
        <v>0</v>
      </c>
      <c r="P30" s="11" t="n">
        <f aca="false">IF(AND(N30="Red",O30=0),C30*0.15,0)</f>
        <v>0</v>
      </c>
      <c r="Q30" s="11" t="n">
        <f aca="false">IF(N30="Green",C30*0.18,0)</f>
        <v>16560</v>
      </c>
    </row>
    <row r="31" customFormat="false" ht="15" hidden="false" customHeight="true" outlineLevel="0" collapsed="false">
      <c r="A31" s="6" t="str">
        <f aca="false">Raw_Telemetry!A31</f>
        <v>ID-1030</v>
      </c>
      <c r="B31" s="6" t="str">
        <f aca="false">Raw_Telemetry!B31</f>
        <v>Pacific Rim Grocers</v>
      </c>
      <c r="C31" s="7" t="n">
        <f aca="false">Raw_Telemetry!C31</f>
        <v>259000</v>
      </c>
      <c r="D31" s="6" t="n">
        <f aca="false">Raw_Telemetry!D31</f>
        <v>211</v>
      </c>
      <c r="E31" s="6" t="n">
        <f aca="false">Raw_Telemetry!E31</f>
        <v>81</v>
      </c>
      <c r="F31" s="6" t="n">
        <f aca="false">Raw_Telemetry!F31</f>
        <v>14</v>
      </c>
      <c r="G31" s="6" t="n">
        <f aca="false">Raw_Telemetry!G31</f>
        <v>3</v>
      </c>
      <c r="H31" s="6" t="str">
        <f aca="false">Raw_Telemetry!H31</f>
        <v>Engaged</v>
      </c>
      <c r="I31" s="8" t="n">
        <f aca="false">E31</f>
        <v>81</v>
      </c>
      <c r="J31" s="8" t="n">
        <f aca="false">MEDIAN(0,(F31+20)*2.5,100)</f>
        <v>85</v>
      </c>
      <c r="K31" s="8" t="n">
        <f aca="false">MAX(0,100-(G31*4))</f>
        <v>88</v>
      </c>
      <c r="L31" s="8" t="n">
        <f aca="false">_xlfn.IFS(H31="Engaged",100,H31="Passive",60,H31="None",25,H31="Champion Departed",10)</f>
        <v>100</v>
      </c>
      <c r="M31" s="9" t="n">
        <f aca="false">ROUND(0.4*I31+0.25*J31+0.2*K31+0.15*L31,1)</f>
        <v>86.3</v>
      </c>
      <c r="N31" s="10" t="str">
        <f aca="false">IF(M31&gt;=72,"Green",IF(M31&gt;=52,"Yellow","Red"))</f>
        <v>Green</v>
      </c>
      <c r="O31" s="11" t="n">
        <f aca="false">IF(AND(N31="Red",OR(H31="None",H31="Champion Departed"),E31&lt;45),C31,0)</f>
        <v>0</v>
      </c>
      <c r="P31" s="11" t="n">
        <f aca="false">IF(AND(N31="Red",O31=0),C31*0.15,0)</f>
        <v>0</v>
      </c>
      <c r="Q31" s="11" t="n">
        <f aca="false">IF(N31="Green",C31*0.18,0)</f>
        <v>46620</v>
      </c>
    </row>
    <row r="32" customFormat="false" ht="15" hidden="false" customHeight="true" outlineLevel="0" collapsed="false">
      <c r="A32" s="6" t="str">
        <f aca="false">Raw_Telemetry!A32</f>
        <v>ID-1031</v>
      </c>
      <c r="B32" s="6" t="str">
        <f aca="false">Raw_Telemetry!B32</f>
        <v>Ambika Sales Corporation</v>
      </c>
      <c r="C32" s="7" t="n">
        <f aca="false">Raw_Telemetry!C32</f>
        <v>164000</v>
      </c>
      <c r="D32" s="6" t="n">
        <f aca="false">Raw_Telemetry!D32</f>
        <v>109</v>
      </c>
      <c r="E32" s="6" t="n">
        <f aca="false">Raw_Telemetry!E32</f>
        <v>97</v>
      </c>
      <c r="F32" s="6" t="n">
        <f aca="false">Raw_Telemetry!F32</f>
        <v>15.8</v>
      </c>
      <c r="G32" s="6" t="n">
        <f aca="false">Raw_Telemetry!G32</f>
        <v>7</v>
      </c>
      <c r="H32" s="6" t="str">
        <f aca="false">Raw_Telemetry!H32</f>
        <v>Engaged</v>
      </c>
      <c r="I32" s="8" t="n">
        <f aca="false">E32</f>
        <v>97</v>
      </c>
      <c r="J32" s="8" t="n">
        <f aca="false">MEDIAN(0,(F32+20)*2.5,100)</f>
        <v>89.5</v>
      </c>
      <c r="K32" s="8" t="n">
        <f aca="false">MAX(0,100-(G32*4))</f>
        <v>72</v>
      </c>
      <c r="L32" s="8" t="n">
        <f aca="false">_xlfn.IFS(H32="Engaged",100,H32="Passive",60,H32="None",25,H32="Champion Departed",10)</f>
        <v>100</v>
      </c>
      <c r="M32" s="9" t="n">
        <f aca="false">ROUND(0.4*I32+0.25*J32+0.2*K32+0.15*L32,1)</f>
        <v>90.6</v>
      </c>
      <c r="N32" s="10" t="str">
        <f aca="false">IF(M32&gt;=72,"Green",IF(M32&gt;=52,"Yellow","Red"))</f>
        <v>Green</v>
      </c>
      <c r="O32" s="11" t="n">
        <f aca="false">IF(AND(N32="Red",OR(H32="None",H32="Champion Departed"),E32&lt;45),C32,0)</f>
        <v>0</v>
      </c>
      <c r="P32" s="11" t="n">
        <f aca="false">IF(AND(N32="Red",O32=0),C32*0.15,0)</f>
        <v>0</v>
      </c>
      <c r="Q32" s="11" t="n">
        <f aca="false">IF(N32="Green",C32*0.18,0)</f>
        <v>29520</v>
      </c>
    </row>
    <row r="33" customFormat="false" ht="15" hidden="false" customHeight="true" outlineLevel="0" collapsed="false">
      <c r="A33" s="6" t="str">
        <f aca="false">Raw_Telemetry!A33</f>
        <v>ID-1032</v>
      </c>
      <c r="B33" s="6" t="str">
        <f aca="false">Raw_Telemetry!B33</f>
        <v>Ironwood Retail Supply</v>
      </c>
      <c r="C33" s="7" t="n">
        <f aca="false">Raw_Telemetry!C33</f>
        <v>437000</v>
      </c>
      <c r="D33" s="6" t="n">
        <f aca="false">Raw_Telemetry!D33</f>
        <v>362</v>
      </c>
      <c r="E33" s="6" t="n">
        <f aca="false">Raw_Telemetry!E33</f>
        <v>81</v>
      </c>
      <c r="F33" s="6" t="n">
        <f aca="false">Raw_Telemetry!F33</f>
        <v>18.9</v>
      </c>
      <c r="G33" s="6" t="n">
        <f aca="false">Raw_Telemetry!G33</f>
        <v>8</v>
      </c>
      <c r="H33" s="6" t="str">
        <f aca="false">Raw_Telemetry!H33</f>
        <v>Passive</v>
      </c>
      <c r="I33" s="8" t="n">
        <f aca="false">E33</f>
        <v>81</v>
      </c>
      <c r="J33" s="8" t="n">
        <f aca="false">MEDIAN(0,(F33+20)*2.5,100)</f>
        <v>97.25</v>
      </c>
      <c r="K33" s="8" t="n">
        <f aca="false">MAX(0,100-(G33*4))</f>
        <v>68</v>
      </c>
      <c r="L33" s="8" t="n">
        <f aca="false">_xlfn.IFS(H33="Engaged",100,H33="Passive",60,H33="None",25,H33="Champion Departed",10)</f>
        <v>60</v>
      </c>
      <c r="M33" s="9" t="n">
        <f aca="false">ROUND(0.4*I33+0.25*J33+0.2*K33+0.15*L33,1)</f>
        <v>79.3</v>
      </c>
      <c r="N33" s="10" t="str">
        <f aca="false">IF(M33&gt;=72,"Green",IF(M33&gt;=52,"Yellow","Red"))</f>
        <v>Green</v>
      </c>
      <c r="O33" s="11" t="n">
        <f aca="false">IF(AND(N33="Red",OR(H33="None",H33="Champion Departed"),E33&lt;45),C33,0)</f>
        <v>0</v>
      </c>
      <c r="P33" s="11" t="n">
        <f aca="false">IF(AND(N33="Red",O33=0),C33*0.15,0)</f>
        <v>0</v>
      </c>
      <c r="Q33" s="11" t="n">
        <f aca="false">IF(N33="Green",C33*0.18,0)</f>
        <v>78660</v>
      </c>
    </row>
    <row r="34" customFormat="false" ht="15" hidden="false" customHeight="true" outlineLevel="0" collapsed="false">
      <c r="A34" s="6" t="str">
        <f aca="false">Raw_Telemetry!A34</f>
        <v>ID-1033</v>
      </c>
      <c r="B34" s="6" t="str">
        <f aca="false">Raw_Telemetry!B34</f>
        <v>Golden Leaf Distributors</v>
      </c>
      <c r="C34" s="7" t="n">
        <f aca="false">Raw_Telemetry!C34</f>
        <v>416000</v>
      </c>
      <c r="D34" s="6" t="n">
        <f aca="false">Raw_Telemetry!D34</f>
        <v>352</v>
      </c>
      <c r="E34" s="6" t="n">
        <f aca="false">Raw_Telemetry!E34</f>
        <v>48</v>
      </c>
      <c r="F34" s="6" t="n">
        <f aca="false">Raw_Telemetry!F34</f>
        <v>4.8</v>
      </c>
      <c r="G34" s="6" t="n">
        <f aca="false">Raw_Telemetry!G34</f>
        <v>21</v>
      </c>
      <c r="H34" s="6" t="str">
        <f aca="false">Raw_Telemetry!H34</f>
        <v>Passive</v>
      </c>
      <c r="I34" s="8" t="n">
        <f aca="false">E34</f>
        <v>48</v>
      </c>
      <c r="J34" s="8" t="n">
        <f aca="false">MEDIAN(0,(F34+20)*2.5,100)</f>
        <v>62</v>
      </c>
      <c r="K34" s="8" t="n">
        <f aca="false">MAX(0,100-(G34*4))</f>
        <v>16</v>
      </c>
      <c r="L34" s="8" t="n">
        <f aca="false">_xlfn.IFS(H34="Engaged",100,H34="Passive",60,H34="None",25,H34="Champion Departed",10)</f>
        <v>60</v>
      </c>
      <c r="M34" s="9" t="n">
        <f aca="false">ROUND(0.4*I34+0.25*J34+0.2*K34+0.15*L34,1)</f>
        <v>46.9</v>
      </c>
      <c r="N34" s="10" t="str">
        <f aca="false">IF(M34&gt;=72,"Green",IF(M34&gt;=52,"Yellow","Red"))</f>
        <v>Red</v>
      </c>
      <c r="O34" s="11" t="n">
        <f aca="false">IF(AND(N34="Red",OR(H34="None",H34="Champion Departed"),E34&lt;45),C34,0)</f>
        <v>0</v>
      </c>
      <c r="P34" s="11" t="n">
        <f aca="false">IF(AND(N34="Red",O34=0),C34*0.15,0)</f>
        <v>62400</v>
      </c>
      <c r="Q34" s="11" t="n">
        <f aca="false">IF(N34="Green",C34*0.18,0)</f>
        <v>0</v>
      </c>
    </row>
    <row r="35" customFormat="false" ht="15" hidden="false" customHeight="true" outlineLevel="0" collapsed="false">
      <c r="A35" s="6" t="str">
        <f aca="false">Raw_Telemetry!A35</f>
        <v>ID-1034</v>
      </c>
      <c r="B35" s="6" t="str">
        <f aca="false">Raw_Telemetry!B35</f>
        <v>Sagar Wholesale Network</v>
      </c>
      <c r="C35" s="7" t="n">
        <f aca="false">Raw_Telemetry!C35</f>
        <v>69000</v>
      </c>
      <c r="D35" s="6" t="n">
        <f aca="false">Raw_Telemetry!D35</f>
        <v>44</v>
      </c>
      <c r="E35" s="6" t="n">
        <f aca="false">Raw_Telemetry!E35</f>
        <v>57</v>
      </c>
      <c r="F35" s="6" t="n">
        <f aca="false">Raw_Telemetry!F35</f>
        <v>7.3</v>
      </c>
      <c r="G35" s="6" t="n">
        <f aca="false">Raw_Telemetry!G35</f>
        <v>10</v>
      </c>
      <c r="H35" s="6" t="str">
        <f aca="false">Raw_Telemetry!H35</f>
        <v>Passive</v>
      </c>
      <c r="I35" s="8" t="n">
        <f aca="false">E35</f>
        <v>57</v>
      </c>
      <c r="J35" s="8" t="n">
        <f aca="false">MEDIAN(0,(F35+20)*2.5,100)</f>
        <v>68.25</v>
      </c>
      <c r="K35" s="8" t="n">
        <f aca="false">MAX(0,100-(G35*4))</f>
        <v>60</v>
      </c>
      <c r="L35" s="8" t="n">
        <f aca="false">_xlfn.IFS(H35="Engaged",100,H35="Passive",60,H35="None",25,H35="Champion Departed",10)</f>
        <v>60</v>
      </c>
      <c r="M35" s="9" t="n">
        <f aca="false">ROUND(0.4*I35+0.25*J35+0.2*K35+0.15*L35,1)</f>
        <v>60.9</v>
      </c>
      <c r="N35" s="10" t="str">
        <f aca="false">IF(M35&gt;=72,"Green",IF(M35&gt;=52,"Yellow","Red"))</f>
        <v>Yellow</v>
      </c>
      <c r="O35" s="11" t="n">
        <f aca="false">IF(AND(N35="Red",OR(H35="None",H35="Champion Departed"),E35&lt;45),C35,0)</f>
        <v>0</v>
      </c>
      <c r="P35" s="11" t="n">
        <f aca="false">IF(AND(N35="Red",O35=0),C35*0.15,0)</f>
        <v>0</v>
      </c>
      <c r="Q35" s="11" t="n">
        <f aca="false">IF(N35="Green",C35*0.18,0)</f>
        <v>0</v>
      </c>
    </row>
    <row r="36" customFormat="false" ht="15" hidden="false" customHeight="true" outlineLevel="0" collapsed="false">
      <c r="A36" s="6" t="str">
        <f aca="false">Raw_Telemetry!A36</f>
        <v>ID-1035</v>
      </c>
      <c r="B36" s="6" t="str">
        <f aca="false">Raw_Telemetry!B36</f>
        <v>Cobalt Consumer Logistics</v>
      </c>
      <c r="C36" s="7" t="n">
        <f aca="false">Raw_Telemetry!C36</f>
        <v>217000</v>
      </c>
      <c r="D36" s="6" t="n">
        <f aca="false">Raw_Telemetry!D36</f>
        <v>169</v>
      </c>
      <c r="E36" s="6" t="n">
        <f aca="false">Raw_Telemetry!E36</f>
        <v>77</v>
      </c>
      <c r="F36" s="6" t="n">
        <f aca="false">Raw_Telemetry!F36</f>
        <v>4.8</v>
      </c>
      <c r="G36" s="6" t="n">
        <f aca="false">Raw_Telemetry!G36</f>
        <v>2</v>
      </c>
      <c r="H36" s="6" t="str">
        <f aca="false">Raw_Telemetry!H36</f>
        <v>Passive</v>
      </c>
      <c r="I36" s="8" t="n">
        <f aca="false">E36</f>
        <v>77</v>
      </c>
      <c r="J36" s="8" t="n">
        <f aca="false">MEDIAN(0,(F36+20)*2.5,100)</f>
        <v>62</v>
      </c>
      <c r="K36" s="8" t="n">
        <f aca="false">MAX(0,100-(G36*4))</f>
        <v>92</v>
      </c>
      <c r="L36" s="8" t="n">
        <f aca="false">_xlfn.IFS(H36="Engaged",100,H36="Passive",60,H36="None",25,H36="Champion Departed",10)</f>
        <v>60</v>
      </c>
      <c r="M36" s="9" t="n">
        <f aca="false">ROUND(0.4*I36+0.25*J36+0.2*K36+0.15*L36,1)</f>
        <v>73.7</v>
      </c>
      <c r="N36" s="10" t="str">
        <f aca="false">IF(M36&gt;=72,"Green",IF(M36&gt;=52,"Yellow","Red"))</f>
        <v>Green</v>
      </c>
      <c r="O36" s="11" t="n">
        <f aca="false">IF(AND(N36="Red",OR(H36="None",H36="Champion Departed"),E36&lt;45),C36,0)</f>
        <v>0</v>
      </c>
      <c r="P36" s="11" t="n">
        <f aca="false">IF(AND(N36="Red",O36=0),C36*0.15,0)</f>
        <v>0</v>
      </c>
      <c r="Q36" s="11" t="n">
        <f aca="false">IF(N36="Green",C36*0.18,0)</f>
        <v>39060</v>
      </c>
    </row>
    <row r="37" customFormat="false" ht="15" hidden="false" customHeight="true" outlineLevel="0" collapsed="false">
      <c r="A37" s="6" t="str">
        <f aca="false">Raw_Telemetry!A37</f>
        <v>ID-1036</v>
      </c>
      <c r="B37" s="6" t="str">
        <f aca="false">Raw_Telemetry!B37</f>
        <v>Vishwas Trading Co</v>
      </c>
      <c r="C37" s="7" t="n">
        <f aca="false">Raw_Telemetry!C37</f>
        <v>75000</v>
      </c>
      <c r="D37" s="6" t="n">
        <f aca="false">Raw_Telemetry!D37</f>
        <v>49</v>
      </c>
      <c r="E37" s="6" t="n">
        <f aca="false">Raw_Telemetry!E37</f>
        <v>72</v>
      </c>
      <c r="F37" s="6" t="n">
        <f aca="false">Raw_Telemetry!F37</f>
        <v>14.4</v>
      </c>
      <c r="G37" s="6" t="n">
        <f aca="false">Raw_Telemetry!G37</f>
        <v>7</v>
      </c>
      <c r="H37" s="6" t="str">
        <f aca="false">Raw_Telemetry!H37</f>
        <v>Passive</v>
      </c>
      <c r="I37" s="8" t="n">
        <f aca="false">E37</f>
        <v>72</v>
      </c>
      <c r="J37" s="8" t="n">
        <f aca="false">MEDIAN(0,(F37+20)*2.5,100)</f>
        <v>86</v>
      </c>
      <c r="K37" s="8" t="n">
        <f aca="false">MAX(0,100-(G37*4))</f>
        <v>72</v>
      </c>
      <c r="L37" s="8" t="n">
        <f aca="false">_xlfn.IFS(H37="Engaged",100,H37="Passive",60,H37="None",25,H37="Champion Departed",10)</f>
        <v>60</v>
      </c>
      <c r="M37" s="9" t="n">
        <f aca="false">ROUND(0.4*I37+0.25*J37+0.2*K37+0.15*L37,1)</f>
        <v>73.7</v>
      </c>
      <c r="N37" s="10" t="str">
        <f aca="false">IF(M37&gt;=72,"Green",IF(M37&gt;=52,"Yellow","Red"))</f>
        <v>Green</v>
      </c>
      <c r="O37" s="11" t="n">
        <f aca="false">IF(AND(N37="Red",OR(H37="None",H37="Champion Departed"),E37&lt;45),C37,0)</f>
        <v>0</v>
      </c>
      <c r="P37" s="11" t="n">
        <f aca="false">IF(AND(N37="Red",O37=0),C37*0.15,0)</f>
        <v>0</v>
      </c>
      <c r="Q37" s="11" t="n">
        <f aca="false">IF(N37="Green",C37*0.18,0)</f>
        <v>13500</v>
      </c>
    </row>
    <row r="38" customFormat="false" ht="15" hidden="false" customHeight="true" outlineLevel="0" collapsed="false">
      <c r="A38" s="6" t="str">
        <f aca="false">Raw_Telemetry!A38</f>
        <v>ID-1037</v>
      </c>
      <c r="B38" s="6" t="str">
        <f aca="false">Raw_Telemetry!B38</f>
        <v>Northgate Provisions</v>
      </c>
      <c r="C38" s="7" t="n">
        <f aca="false">Raw_Telemetry!C38</f>
        <v>82000</v>
      </c>
      <c r="D38" s="6" t="n">
        <f aca="false">Raw_Telemetry!D38</f>
        <v>65</v>
      </c>
      <c r="E38" s="6" t="n">
        <f aca="false">Raw_Telemetry!E38</f>
        <v>80</v>
      </c>
      <c r="F38" s="6" t="n">
        <f aca="false">Raw_Telemetry!F38</f>
        <v>-1.5</v>
      </c>
      <c r="G38" s="6" t="n">
        <f aca="false">Raw_Telemetry!G38</f>
        <v>7</v>
      </c>
      <c r="H38" s="6" t="str">
        <f aca="false">Raw_Telemetry!H38</f>
        <v>Engaged</v>
      </c>
      <c r="I38" s="8" t="n">
        <f aca="false">E38</f>
        <v>80</v>
      </c>
      <c r="J38" s="8" t="n">
        <f aca="false">MEDIAN(0,(F38+20)*2.5,100)</f>
        <v>46.25</v>
      </c>
      <c r="K38" s="8" t="n">
        <f aca="false">MAX(0,100-(G38*4))</f>
        <v>72</v>
      </c>
      <c r="L38" s="8" t="n">
        <f aca="false">_xlfn.IFS(H38="Engaged",100,H38="Passive",60,H38="None",25,H38="Champion Departed",10)</f>
        <v>100</v>
      </c>
      <c r="M38" s="9" t="n">
        <f aca="false">ROUND(0.4*I38+0.25*J38+0.2*K38+0.15*L38,1)</f>
        <v>73</v>
      </c>
      <c r="N38" s="10" t="str">
        <f aca="false">IF(M38&gt;=72,"Green",IF(M38&gt;=52,"Yellow","Red"))</f>
        <v>Green</v>
      </c>
      <c r="O38" s="11" t="n">
        <f aca="false">IF(AND(N38="Red",OR(H38="None",H38="Champion Departed"),E38&lt;45),C38,0)</f>
        <v>0</v>
      </c>
      <c r="P38" s="11" t="n">
        <f aca="false">IF(AND(N38="Red",O38=0),C38*0.15,0)</f>
        <v>0</v>
      </c>
      <c r="Q38" s="11" t="n">
        <f aca="false">IF(N38="Green",C38*0.18,0)</f>
        <v>14760</v>
      </c>
    </row>
    <row r="39" customFormat="false" ht="15" hidden="false" customHeight="true" outlineLevel="0" collapsed="false">
      <c r="A39" s="6" t="str">
        <f aca="false">Raw_Telemetry!A39</f>
        <v>ID-1038</v>
      </c>
      <c r="B39" s="6" t="str">
        <f aca="false">Raw_Telemetry!B39</f>
        <v>Madhav Retail Agencies</v>
      </c>
      <c r="C39" s="7" t="n">
        <f aca="false">Raw_Telemetry!C39</f>
        <v>176000</v>
      </c>
      <c r="D39" s="6" t="n">
        <f aca="false">Raw_Telemetry!D39</f>
        <v>137</v>
      </c>
      <c r="E39" s="6" t="n">
        <f aca="false">Raw_Telemetry!E39</f>
        <v>72</v>
      </c>
      <c r="F39" s="6" t="n">
        <f aca="false">Raw_Telemetry!F39</f>
        <v>26.6</v>
      </c>
      <c r="G39" s="6" t="n">
        <f aca="false">Raw_Telemetry!G39</f>
        <v>5</v>
      </c>
      <c r="H39" s="6" t="str">
        <f aca="false">Raw_Telemetry!H39</f>
        <v>Engaged</v>
      </c>
      <c r="I39" s="8" t="n">
        <f aca="false">E39</f>
        <v>72</v>
      </c>
      <c r="J39" s="8" t="n">
        <f aca="false">MEDIAN(0,(F39+20)*2.5,100)</f>
        <v>100</v>
      </c>
      <c r="K39" s="8" t="n">
        <f aca="false">MAX(0,100-(G39*4))</f>
        <v>80</v>
      </c>
      <c r="L39" s="8" t="n">
        <f aca="false">_xlfn.IFS(H39="Engaged",100,H39="Passive",60,H39="None",25,H39="Champion Departed",10)</f>
        <v>100</v>
      </c>
      <c r="M39" s="9" t="n">
        <f aca="false">ROUND(0.4*I39+0.25*J39+0.2*K39+0.15*L39,1)</f>
        <v>84.8</v>
      </c>
      <c r="N39" s="10" t="str">
        <f aca="false">IF(M39&gt;=72,"Green",IF(M39&gt;=52,"Yellow","Red"))</f>
        <v>Green</v>
      </c>
      <c r="O39" s="11" t="n">
        <f aca="false">IF(AND(N39="Red",OR(H39="None",H39="Champion Departed"),E39&lt;45),C39,0)</f>
        <v>0</v>
      </c>
      <c r="P39" s="11" t="n">
        <f aca="false">IF(AND(N39="Red",O39=0),C39*0.15,0)</f>
        <v>0</v>
      </c>
      <c r="Q39" s="11" t="n">
        <f aca="false">IF(N39="Green",C39*0.18,0)</f>
        <v>31680</v>
      </c>
    </row>
    <row r="40" customFormat="false" ht="15" hidden="false" customHeight="true" outlineLevel="0" collapsed="false">
      <c r="A40" s="6" t="str">
        <f aca="false">Raw_Telemetry!A40</f>
        <v>ID-1039</v>
      </c>
      <c r="B40" s="6" t="str">
        <f aca="false">Raw_Telemetry!B40</f>
        <v>Everest Beverage Partners</v>
      </c>
      <c r="C40" s="7" t="n">
        <f aca="false">Raw_Telemetry!C40</f>
        <v>143000</v>
      </c>
      <c r="D40" s="6" t="n">
        <f aca="false">Raw_Telemetry!D40</f>
        <v>117</v>
      </c>
      <c r="E40" s="6" t="n">
        <f aca="false">Raw_Telemetry!E40</f>
        <v>79</v>
      </c>
      <c r="F40" s="6" t="n">
        <f aca="false">Raw_Telemetry!F40</f>
        <v>14.9</v>
      </c>
      <c r="G40" s="6" t="n">
        <f aca="false">Raw_Telemetry!G40</f>
        <v>7</v>
      </c>
      <c r="H40" s="6" t="str">
        <f aca="false">Raw_Telemetry!H40</f>
        <v>Engaged</v>
      </c>
      <c r="I40" s="8" t="n">
        <f aca="false">E40</f>
        <v>79</v>
      </c>
      <c r="J40" s="8" t="n">
        <f aca="false">MEDIAN(0,(F40+20)*2.5,100)</f>
        <v>87.25</v>
      </c>
      <c r="K40" s="8" t="n">
        <f aca="false">MAX(0,100-(G40*4))</f>
        <v>72</v>
      </c>
      <c r="L40" s="8" t="n">
        <f aca="false">_xlfn.IFS(H40="Engaged",100,H40="Passive",60,H40="None",25,H40="Champion Departed",10)</f>
        <v>100</v>
      </c>
      <c r="M40" s="9" t="n">
        <f aca="false">ROUND(0.4*I40+0.25*J40+0.2*K40+0.15*L40,1)</f>
        <v>82.8</v>
      </c>
      <c r="N40" s="10" t="str">
        <f aca="false">IF(M40&gt;=72,"Green",IF(M40&gt;=52,"Yellow","Red"))</f>
        <v>Green</v>
      </c>
      <c r="O40" s="11" t="n">
        <f aca="false">IF(AND(N40="Red",OR(H40="None",H40="Champion Departed"),E40&lt;45),C40,0)</f>
        <v>0</v>
      </c>
      <c r="P40" s="11" t="n">
        <f aca="false">IF(AND(N40="Red",O40=0),C40*0.15,0)</f>
        <v>0</v>
      </c>
      <c r="Q40" s="11" t="n">
        <f aca="false">IF(N40="Green",C40*0.18,0)</f>
        <v>25740</v>
      </c>
    </row>
    <row r="41" customFormat="false" ht="15" hidden="false" customHeight="true" outlineLevel="0" collapsed="false">
      <c r="A41" s="6" t="str">
        <f aca="false">Raw_Telemetry!A41</f>
        <v>ID-1040</v>
      </c>
      <c r="B41" s="6" t="str">
        <f aca="false">Raw_Telemetry!B41</f>
        <v>Lotus Household Distribution</v>
      </c>
      <c r="C41" s="7" t="n">
        <f aca="false">Raw_Telemetry!C41</f>
        <v>294000</v>
      </c>
      <c r="D41" s="6" t="n">
        <f aca="false">Raw_Telemetry!D41</f>
        <v>259</v>
      </c>
      <c r="E41" s="6" t="n">
        <f aca="false">Raw_Telemetry!E41</f>
        <v>42</v>
      </c>
      <c r="F41" s="6" t="n">
        <f aca="false">Raw_Telemetry!F41</f>
        <v>-9.3</v>
      </c>
      <c r="G41" s="6" t="n">
        <f aca="false">Raw_Telemetry!G41</f>
        <v>7</v>
      </c>
      <c r="H41" s="6" t="str">
        <f aca="false">Raw_Telemetry!H41</f>
        <v>None</v>
      </c>
      <c r="I41" s="8" t="n">
        <f aca="false">E41</f>
        <v>42</v>
      </c>
      <c r="J41" s="8" t="n">
        <f aca="false">MEDIAN(0,(F41+20)*2.5,100)</f>
        <v>26.75</v>
      </c>
      <c r="K41" s="8" t="n">
        <f aca="false">MAX(0,100-(G41*4))</f>
        <v>72</v>
      </c>
      <c r="L41" s="8" t="n">
        <f aca="false">_xlfn.IFS(H41="Engaged",100,H41="Passive",60,H41="None",25,H41="Champion Departed",10)</f>
        <v>25</v>
      </c>
      <c r="M41" s="9" t="n">
        <f aca="false">ROUND(0.4*I41+0.25*J41+0.2*K41+0.15*L41,1)</f>
        <v>41.6</v>
      </c>
      <c r="N41" s="10" t="str">
        <f aca="false">IF(M41&gt;=72,"Green",IF(M41&gt;=52,"Yellow","Red"))</f>
        <v>Red</v>
      </c>
      <c r="O41" s="11" t="n">
        <f aca="false">IF(AND(N41="Red",OR(H41="None",H41="Champion Departed"),E41&lt;45),C41,0)</f>
        <v>294000</v>
      </c>
      <c r="P41" s="11" t="n">
        <f aca="false">IF(AND(N41="Red",O41=0),C41*0.15,0)</f>
        <v>0</v>
      </c>
      <c r="Q41" s="11" t="n">
        <f aca="false">IF(N41="Green",C41*0.18,0)</f>
        <v>0</v>
      </c>
    </row>
    <row r="42" customFormat="false" ht="15" hidden="false" customHeight="true" outlineLevel="0" collapsed="false">
      <c r="A42" s="6" t="str">
        <f aca="false">Raw_Telemetry!A42</f>
        <v>ID-1041</v>
      </c>
      <c r="B42" s="6" t="str">
        <f aca="false">Raw_Telemetry!B42</f>
        <v>Prime Meridian Wholesale</v>
      </c>
      <c r="C42" s="7" t="n">
        <f aca="false">Raw_Telemetry!C42</f>
        <v>238000</v>
      </c>
      <c r="D42" s="6" t="n">
        <f aca="false">Raw_Telemetry!D42</f>
        <v>154</v>
      </c>
      <c r="E42" s="6" t="n">
        <f aca="false">Raw_Telemetry!E42</f>
        <v>83</v>
      </c>
      <c r="F42" s="6" t="n">
        <f aca="false">Raw_Telemetry!F42</f>
        <v>4.3</v>
      </c>
      <c r="G42" s="6" t="n">
        <f aca="false">Raw_Telemetry!G42</f>
        <v>3</v>
      </c>
      <c r="H42" s="6" t="str">
        <f aca="false">Raw_Telemetry!H42</f>
        <v>Engaged</v>
      </c>
      <c r="I42" s="8" t="n">
        <f aca="false">E42</f>
        <v>83</v>
      </c>
      <c r="J42" s="8" t="n">
        <f aca="false">MEDIAN(0,(F42+20)*2.5,100)</f>
        <v>60.75</v>
      </c>
      <c r="K42" s="8" t="n">
        <f aca="false">MAX(0,100-(G42*4))</f>
        <v>88</v>
      </c>
      <c r="L42" s="8" t="n">
        <f aca="false">_xlfn.IFS(H42="Engaged",100,H42="Passive",60,H42="None",25,H42="Champion Departed",10)</f>
        <v>100</v>
      </c>
      <c r="M42" s="9" t="n">
        <f aca="false">ROUND(0.4*I42+0.25*J42+0.2*K42+0.15*L42,1)</f>
        <v>81</v>
      </c>
      <c r="N42" s="10" t="str">
        <f aca="false">IF(M42&gt;=72,"Green",IF(M42&gt;=52,"Yellow","Red"))</f>
        <v>Green</v>
      </c>
      <c r="O42" s="11" t="n">
        <f aca="false">IF(AND(N42="Red",OR(H42="None",H42="Champion Departed"),E42&lt;45),C42,0)</f>
        <v>0</v>
      </c>
      <c r="P42" s="11" t="n">
        <f aca="false">IF(AND(N42="Red",O42=0),C42*0.15,0)</f>
        <v>0</v>
      </c>
      <c r="Q42" s="11" t="n">
        <f aca="false">IF(N42="Green",C42*0.18,0)</f>
        <v>42840</v>
      </c>
    </row>
    <row r="43" customFormat="false" ht="15" hidden="false" customHeight="true" outlineLevel="0" collapsed="false">
      <c r="A43" s="6" t="str">
        <f aca="false">Raw_Telemetry!A43</f>
        <v>ID-1042</v>
      </c>
      <c r="B43" s="6" t="str">
        <f aca="false">Raw_Telemetry!B43</f>
        <v>Jai Hind Distributors</v>
      </c>
      <c r="C43" s="7" t="n">
        <f aca="false">Raw_Telemetry!C43</f>
        <v>384000</v>
      </c>
      <c r="D43" s="6" t="n">
        <f aca="false">Raw_Telemetry!D43</f>
        <v>275</v>
      </c>
      <c r="E43" s="6" t="n">
        <f aca="false">Raw_Telemetry!E43</f>
        <v>49</v>
      </c>
      <c r="F43" s="6" t="n">
        <f aca="false">Raw_Telemetry!F43</f>
        <v>-2.2</v>
      </c>
      <c r="G43" s="6" t="n">
        <f aca="false">Raw_Telemetry!G43</f>
        <v>11</v>
      </c>
      <c r="H43" s="6" t="str">
        <f aca="false">Raw_Telemetry!H43</f>
        <v>None</v>
      </c>
      <c r="I43" s="8" t="n">
        <f aca="false">E43</f>
        <v>49</v>
      </c>
      <c r="J43" s="8" t="n">
        <f aca="false">MEDIAN(0,(F43+20)*2.5,100)</f>
        <v>44.5</v>
      </c>
      <c r="K43" s="8" t="n">
        <f aca="false">MAX(0,100-(G43*4))</f>
        <v>56</v>
      </c>
      <c r="L43" s="8" t="n">
        <f aca="false">_xlfn.IFS(H43="Engaged",100,H43="Passive",60,H43="None",25,H43="Champion Departed",10)</f>
        <v>25</v>
      </c>
      <c r="M43" s="9" t="n">
        <f aca="false">ROUND(0.4*I43+0.25*J43+0.2*K43+0.15*L43,1)</f>
        <v>45.7</v>
      </c>
      <c r="N43" s="10" t="str">
        <f aca="false">IF(M43&gt;=72,"Green",IF(M43&gt;=52,"Yellow","Red"))</f>
        <v>Red</v>
      </c>
      <c r="O43" s="11" t="n">
        <f aca="false">IF(AND(N43="Red",OR(H43="None",H43="Champion Departed"),E43&lt;45),C43,0)</f>
        <v>0</v>
      </c>
      <c r="P43" s="11" t="n">
        <f aca="false">IF(AND(N43="Red",O43=0),C43*0.15,0)</f>
        <v>57600</v>
      </c>
      <c r="Q43" s="11" t="n">
        <f aca="false">IF(N43="Green",C43*0.18,0)</f>
        <v>0</v>
      </c>
    </row>
    <row r="44" customFormat="false" ht="15" hidden="false" customHeight="true" outlineLevel="0" collapsed="false">
      <c r="A44" s="6" t="str">
        <f aca="false">Raw_Telemetry!A44</f>
        <v>ID-1043</v>
      </c>
      <c r="B44" s="6" t="str">
        <f aca="false">Raw_Telemetry!B44</f>
        <v>Redstone Grocery Supply</v>
      </c>
      <c r="C44" s="7" t="n">
        <f aca="false">Raw_Telemetry!C44</f>
        <v>16000</v>
      </c>
      <c r="D44" s="6" t="n">
        <f aca="false">Raw_Telemetry!D44</f>
        <v>15</v>
      </c>
      <c r="E44" s="6" t="n">
        <f aca="false">Raw_Telemetry!E44</f>
        <v>70</v>
      </c>
      <c r="F44" s="6" t="n">
        <f aca="false">Raw_Telemetry!F44</f>
        <v>6.6</v>
      </c>
      <c r="G44" s="6" t="n">
        <f aca="false">Raw_Telemetry!G44</f>
        <v>11</v>
      </c>
      <c r="H44" s="6" t="str">
        <f aca="false">Raw_Telemetry!H44</f>
        <v>Engaged</v>
      </c>
      <c r="I44" s="8" t="n">
        <f aca="false">E44</f>
        <v>70</v>
      </c>
      <c r="J44" s="8" t="n">
        <f aca="false">MEDIAN(0,(F44+20)*2.5,100)</f>
        <v>66.5</v>
      </c>
      <c r="K44" s="8" t="n">
        <f aca="false">MAX(0,100-(G44*4))</f>
        <v>56</v>
      </c>
      <c r="L44" s="8" t="n">
        <f aca="false">_xlfn.IFS(H44="Engaged",100,H44="Passive",60,H44="None",25,H44="Champion Departed",10)</f>
        <v>100</v>
      </c>
      <c r="M44" s="9" t="n">
        <f aca="false">ROUND(0.4*I44+0.25*J44+0.2*K44+0.15*L44,1)</f>
        <v>70.8</v>
      </c>
      <c r="N44" s="10" t="str">
        <f aca="false">IF(M44&gt;=72,"Green",IF(M44&gt;=52,"Yellow","Red"))</f>
        <v>Yellow</v>
      </c>
      <c r="O44" s="11" t="n">
        <f aca="false">IF(AND(N44="Red",OR(H44="None",H44="Champion Departed"),E44&lt;45),C44,0)</f>
        <v>0</v>
      </c>
      <c r="P44" s="11" t="n">
        <f aca="false">IF(AND(N44="Red",O44=0),C44*0.15,0)</f>
        <v>0</v>
      </c>
      <c r="Q44" s="11" t="n">
        <f aca="false">IF(N44="Green",C44*0.18,0)</f>
        <v>0</v>
      </c>
    </row>
    <row r="45" customFormat="false" ht="15" hidden="false" customHeight="true" outlineLevel="0" collapsed="false">
      <c r="A45" s="6" t="str">
        <f aca="false">Raw_Telemetry!A45</f>
        <v>ID-1044</v>
      </c>
      <c r="B45" s="6" t="str">
        <f aca="false">Raw_Telemetry!B45</f>
        <v>Saraswati Trading Network</v>
      </c>
      <c r="C45" s="7" t="n">
        <f aca="false">Raw_Telemetry!C45</f>
        <v>22000</v>
      </c>
      <c r="D45" s="6" t="n">
        <f aca="false">Raw_Telemetry!D45</f>
        <v>18</v>
      </c>
      <c r="E45" s="6" t="n">
        <f aca="false">Raw_Telemetry!E45</f>
        <v>53</v>
      </c>
      <c r="F45" s="6" t="n">
        <f aca="false">Raw_Telemetry!F45</f>
        <v>5.1</v>
      </c>
      <c r="G45" s="6" t="n">
        <f aca="false">Raw_Telemetry!G45</f>
        <v>11</v>
      </c>
      <c r="H45" s="6" t="str">
        <f aca="false">Raw_Telemetry!H45</f>
        <v>Passive</v>
      </c>
      <c r="I45" s="8" t="n">
        <f aca="false">E45</f>
        <v>53</v>
      </c>
      <c r="J45" s="8" t="n">
        <f aca="false">MEDIAN(0,(F45+20)*2.5,100)</f>
        <v>62.75</v>
      </c>
      <c r="K45" s="8" t="n">
        <f aca="false">MAX(0,100-(G45*4))</f>
        <v>56</v>
      </c>
      <c r="L45" s="8" t="n">
        <f aca="false">_xlfn.IFS(H45="Engaged",100,H45="Passive",60,H45="None",25,H45="Champion Departed",10)</f>
        <v>60</v>
      </c>
      <c r="M45" s="9" t="n">
        <f aca="false">ROUND(0.4*I45+0.25*J45+0.2*K45+0.15*L45,1)</f>
        <v>57.1</v>
      </c>
      <c r="N45" s="10" t="str">
        <f aca="false">IF(M45&gt;=72,"Green",IF(M45&gt;=52,"Yellow","Red"))</f>
        <v>Yellow</v>
      </c>
      <c r="O45" s="11" t="n">
        <f aca="false">IF(AND(N45="Red",OR(H45="None",H45="Champion Departed"),E45&lt;45),C45,0)</f>
        <v>0</v>
      </c>
      <c r="P45" s="11" t="n">
        <f aca="false">IF(AND(N45="Red",O45=0),C45*0.15,0)</f>
        <v>0</v>
      </c>
      <c r="Q45" s="11" t="n">
        <f aca="false">IF(N45="Green",C45*0.18,0)</f>
        <v>0</v>
      </c>
    </row>
    <row r="46" customFormat="false" ht="15" hidden="false" customHeight="true" outlineLevel="0" collapsed="false">
      <c r="A46" s="6" t="str">
        <f aca="false">Raw_Telemetry!A46</f>
        <v>ID-1045</v>
      </c>
      <c r="B46" s="6" t="str">
        <f aca="false">Raw_Telemetry!B46</f>
        <v>Coastline FMCG Partners</v>
      </c>
      <c r="C46" s="7" t="n">
        <f aca="false">Raw_Telemetry!C46</f>
        <v>52000</v>
      </c>
      <c r="D46" s="6" t="n">
        <f aca="false">Raw_Telemetry!D46</f>
        <v>45</v>
      </c>
      <c r="E46" s="6" t="n">
        <f aca="false">Raw_Telemetry!E46</f>
        <v>69</v>
      </c>
      <c r="F46" s="6" t="n">
        <f aca="false">Raw_Telemetry!F46</f>
        <v>6.3</v>
      </c>
      <c r="G46" s="6" t="n">
        <f aca="false">Raw_Telemetry!G46</f>
        <v>14</v>
      </c>
      <c r="H46" s="6" t="str">
        <f aca="false">Raw_Telemetry!H46</f>
        <v>Engaged</v>
      </c>
      <c r="I46" s="8" t="n">
        <f aca="false">E46</f>
        <v>69</v>
      </c>
      <c r="J46" s="8" t="n">
        <f aca="false">MEDIAN(0,(F46+20)*2.5,100)</f>
        <v>65.75</v>
      </c>
      <c r="K46" s="8" t="n">
        <f aca="false">MAX(0,100-(G46*4))</f>
        <v>44</v>
      </c>
      <c r="L46" s="8" t="n">
        <f aca="false">_xlfn.IFS(H46="Engaged",100,H46="Passive",60,H46="None",25,H46="Champion Departed",10)</f>
        <v>100</v>
      </c>
      <c r="M46" s="9" t="n">
        <f aca="false">ROUND(0.4*I46+0.25*J46+0.2*K46+0.15*L46,1)</f>
        <v>67.8</v>
      </c>
      <c r="N46" s="10" t="str">
        <f aca="false">IF(M46&gt;=72,"Green",IF(M46&gt;=52,"Yellow","Red"))</f>
        <v>Yellow</v>
      </c>
      <c r="O46" s="11" t="n">
        <f aca="false">IF(AND(N46="Red",OR(H46="None",H46="Champion Departed"),E46&lt;45),C46,0)</f>
        <v>0</v>
      </c>
      <c r="P46" s="11" t="n">
        <f aca="false">IF(AND(N46="Red",O46=0),C46*0.15,0)</f>
        <v>0</v>
      </c>
      <c r="Q46" s="11" t="n">
        <f aca="false">IF(N46="Green",C46*0.18,0)</f>
        <v>0</v>
      </c>
    </row>
    <row r="47" customFormat="false" ht="15" hidden="false" customHeight="true" outlineLevel="0" collapsed="false">
      <c r="A47" s="6" t="str">
        <f aca="false">Raw_Telemetry!A47</f>
        <v>ID-1046</v>
      </c>
      <c r="B47" s="6" t="str">
        <f aca="false">Raw_Telemetry!B47</f>
        <v>Vardhman Sales Co</v>
      </c>
      <c r="C47" s="7" t="n">
        <f aca="false">Raw_Telemetry!C47</f>
        <v>179000</v>
      </c>
      <c r="D47" s="6" t="n">
        <f aca="false">Raw_Telemetry!D47</f>
        <v>166</v>
      </c>
      <c r="E47" s="6" t="n">
        <f aca="false">Raw_Telemetry!E47</f>
        <v>78</v>
      </c>
      <c r="F47" s="6" t="n">
        <f aca="false">Raw_Telemetry!F47</f>
        <v>-8.7</v>
      </c>
      <c r="G47" s="6" t="n">
        <f aca="false">Raw_Telemetry!G47</f>
        <v>6</v>
      </c>
      <c r="H47" s="6" t="str">
        <f aca="false">Raw_Telemetry!H47</f>
        <v>Passive</v>
      </c>
      <c r="I47" s="8" t="n">
        <f aca="false">E47</f>
        <v>78</v>
      </c>
      <c r="J47" s="8" t="n">
        <f aca="false">MEDIAN(0,(F47+20)*2.5,100)</f>
        <v>28.25</v>
      </c>
      <c r="K47" s="8" t="n">
        <f aca="false">MAX(0,100-(G47*4))</f>
        <v>76</v>
      </c>
      <c r="L47" s="8" t="n">
        <f aca="false">_xlfn.IFS(H47="Engaged",100,H47="Passive",60,H47="None",25,H47="Champion Departed",10)</f>
        <v>60</v>
      </c>
      <c r="M47" s="9" t="n">
        <f aca="false">ROUND(0.4*I47+0.25*J47+0.2*K47+0.15*L47,1)</f>
        <v>62.5</v>
      </c>
      <c r="N47" s="10" t="str">
        <f aca="false">IF(M47&gt;=72,"Green",IF(M47&gt;=52,"Yellow","Red"))</f>
        <v>Yellow</v>
      </c>
      <c r="O47" s="11" t="n">
        <f aca="false">IF(AND(N47="Red",OR(H47="None",H47="Champion Departed"),E47&lt;45),C47,0)</f>
        <v>0</v>
      </c>
      <c r="P47" s="11" t="n">
        <f aca="false">IF(AND(N47="Red",O47=0),C47*0.15,0)</f>
        <v>0</v>
      </c>
      <c r="Q47" s="11" t="n">
        <f aca="false">IF(N47="Green",C47*0.18,0)</f>
        <v>0</v>
      </c>
    </row>
    <row r="48" customFormat="false" ht="15" hidden="false" customHeight="true" outlineLevel="0" collapsed="false">
      <c r="A48" s="6" t="str">
        <f aca="false">Raw_Telemetry!A48</f>
        <v>ID-1047</v>
      </c>
      <c r="B48" s="6" t="str">
        <f aca="false">Raw_Telemetry!B48</f>
        <v>Bright Valley Distributors</v>
      </c>
      <c r="C48" s="7" t="n">
        <f aca="false">Raw_Telemetry!C48</f>
        <v>360000</v>
      </c>
      <c r="D48" s="6" t="n">
        <f aca="false">Raw_Telemetry!D48</f>
        <v>299</v>
      </c>
      <c r="E48" s="6" t="n">
        <f aca="false">Raw_Telemetry!E48</f>
        <v>73</v>
      </c>
      <c r="F48" s="6" t="n">
        <f aca="false">Raw_Telemetry!F48</f>
        <v>-2.3</v>
      </c>
      <c r="G48" s="6" t="n">
        <f aca="false">Raw_Telemetry!G48</f>
        <v>3</v>
      </c>
      <c r="H48" s="6" t="str">
        <f aca="false">Raw_Telemetry!H48</f>
        <v>Passive</v>
      </c>
      <c r="I48" s="8" t="n">
        <f aca="false">E48</f>
        <v>73</v>
      </c>
      <c r="J48" s="8" t="n">
        <f aca="false">MEDIAN(0,(F48+20)*2.5,100)</f>
        <v>44.25</v>
      </c>
      <c r="K48" s="8" t="n">
        <f aca="false">MAX(0,100-(G48*4))</f>
        <v>88</v>
      </c>
      <c r="L48" s="8" t="n">
        <f aca="false">_xlfn.IFS(H48="Engaged",100,H48="Passive",60,H48="None",25,H48="Champion Departed",10)</f>
        <v>60</v>
      </c>
      <c r="M48" s="9" t="n">
        <f aca="false">ROUND(0.4*I48+0.25*J48+0.2*K48+0.15*L48,1)</f>
        <v>66.9</v>
      </c>
      <c r="N48" s="10" t="str">
        <f aca="false">IF(M48&gt;=72,"Green",IF(M48&gt;=52,"Yellow","Red"))</f>
        <v>Yellow</v>
      </c>
      <c r="O48" s="11" t="n">
        <f aca="false">IF(AND(N48="Red",OR(H48="None",H48="Champion Departed"),E48&lt;45),C48,0)</f>
        <v>0</v>
      </c>
      <c r="P48" s="11" t="n">
        <f aca="false">IF(AND(N48="Red",O48=0),C48*0.15,0)</f>
        <v>0</v>
      </c>
      <c r="Q48" s="11" t="n">
        <f aca="false">IF(N48="Green",C48*0.18,0)</f>
        <v>0</v>
      </c>
    </row>
    <row r="49" customFormat="false" ht="15" hidden="false" customHeight="true" outlineLevel="0" collapsed="false">
      <c r="A49" s="6" t="str">
        <f aca="false">Raw_Telemetry!A49</f>
        <v>ID-1048</v>
      </c>
      <c r="B49" s="6" t="str">
        <f aca="false">Raw_Telemetry!B49</f>
        <v>Onkar Retail Supply</v>
      </c>
      <c r="C49" s="7" t="n">
        <f aca="false">Raw_Telemetry!C49</f>
        <v>13000</v>
      </c>
      <c r="D49" s="6" t="n">
        <f aca="false">Raw_Telemetry!D49</f>
        <v>12</v>
      </c>
      <c r="E49" s="6" t="n">
        <f aca="false">Raw_Telemetry!E49</f>
        <v>52</v>
      </c>
      <c r="F49" s="6" t="n">
        <f aca="false">Raw_Telemetry!F49</f>
        <v>-13.6</v>
      </c>
      <c r="G49" s="6" t="n">
        <f aca="false">Raw_Telemetry!G49</f>
        <v>14</v>
      </c>
      <c r="H49" s="6" t="str">
        <f aca="false">Raw_Telemetry!H49</f>
        <v>Passive</v>
      </c>
      <c r="I49" s="8" t="n">
        <f aca="false">E49</f>
        <v>52</v>
      </c>
      <c r="J49" s="8" t="n">
        <f aca="false">MEDIAN(0,(F49+20)*2.5,100)</f>
        <v>16</v>
      </c>
      <c r="K49" s="8" t="n">
        <f aca="false">MAX(0,100-(G49*4))</f>
        <v>44</v>
      </c>
      <c r="L49" s="8" t="n">
        <f aca="false">_xlfn.IFS(H49="Engaged",100,H49="Passive",60,H49="None",25,H49="Champion Departed",10)</f>
        <v>60</v>
      </c>
      <c r="M49" s="9" t="n">
        <f aca="false">ROUND(0.4*I49+0.25*J49+0.2*K49+0.15*L49,1)</f>
        <v>42.6</v>
      </c>
      <c r="N49" s="10" t="str">
        <f aca="false">IF(M49&gt;=72,"Green",IF(M49&gt;=52,"Yellow","Red"))</f>
        <v>Red</v>
      </c>
      <c r="O49" s="11" t="n">
        <f aca="false">IF(AND(N49="Red",OR(H49="None",H49="Champion Departed"),E49&lt;45),C49,0)</f>
        <v>0</v>
      </c>
      <c r="P49" s="11" t="n">
        <f aca="false">IF(AND(N49="Red",O49=0),C49*0.15,0)</f>
        <v>1950</v>
      </c>
      <c r="Q49" s="11" t="n">
        <f aca="false">IF(N49="Green",C49*0.18,0)</f>
        <v>0</v>
      </c>
    </row>
    <row r="50" customFormat="false" ht="15" hidden="false" customHeight="true" outlineLevel="0" collapsed="false">
      <c r="A50" s="6" t="str">
        <f aca="false">Raw_Telemetry!A50</f>
        <v>ID-1049</v>
      </c>
      <c r="B50" s="6" t="str">
        <f aca="false">Raw_Telemetry!B50</f>
        <v>Stonebridge Consumer Goods</v>
      </c>
      <c r="C50" s="7" t="n">
        <f aca="false">Raw_Telemetry!C50</f>
        <v>168000</v>
      </c>
      <c r="D50" s="6" t="n">
        <f aca="false">Raw_Telemetry!D50</f>
        <v>154</v>
      </c>
      <c r="E50" s="6" t="n">
        <f aca="false">Raw_Telemetry!E50</f>
        <v>78</v>
      </c>
      <c r="F50" s="6" t="n">
        <f aca="false">Raw_Telemetry!F50</f>
        <v>20.7</v>
      </c>
      <c r="G50" s="6" t="n">
        <f aca="false">Raw_Telemetry!G50</f>
        <v>6</v>
      </c>
      <c r="H50" s="6" t="str">
        <f aca="false">Raw_Telemetry!H50</f>
        <v>Engaged</v>
      </c>
      <c r="I50" s="8" t="n">
        <f aca="false">E50</f>
        <v>78</v>
      </c>
      <c r="J50" s="8" t="n">
        <f aca="false">MEDIAN(0,(F50+20)*2.5,100)</f>
        <v>100</v>
      </c>
      <c r="K50" s="8" t="n">
        <f aca="false">MAX(0,100-(G50*4))</f>
        <v>76</v>
      </c>
      <c r="L50" s="8" t="n">
        <f aca="false">_xlfn.IFS(H50="Engaged",100,H50="Passive",60,H50="None",25,H50="Champion Departed",10)</f>
        <v>100</v>
      </c>
      <c r="M50" s="9" t="n">
        <f aca="false">ROUND(0.4*I50+0.25*J50+0.2*K50+0.15*L50,1)</f>
        <v>86.4</v>
      </c>
      <c r="N50" s="10" t="str">
        <f aca="false">IF(M50&gt;=72,"Green",IF(M50&gt;=52,"Yellow","Red"))</f>
        <v>Green</v>
      </c>
      <c r="O50" s="11" t="n">
        <f aca="false">IF(AND(N50="Red",OR(H50="None",H50="Champion Departed"),E50&lt;45),C50,0)</f>
        <v>0</v>
      </c>
      <c r="P50" s="11" t="n">
        <f aca="false">IF(AND(N50="Red",O50=0),C50*0.15,0)</f>
        <v>0</v>
      </c>
      <c r="Q50" s="11" t="n">
        <f aca="false">IF(N50="Green",C50*0.18,0)</f>
        <v>30240</v>
      </c>
    </row>
    <row r="51" customFormat="false" ht="15" hidden="false" customHeight="true" outlineLevel="0" collapsed="false">
      <c r="A51" s="6" t="str">
        <f aca="false">Raw_Telemetry!A51</f>
        <v>ID-1050</v>
      </c>
      <c r="B51" s="6" t="str">
        <f aca="false">Raw_Telemetry!B51</f>
        <v>Yashoda Wholesale Mart</v>
      </c>
      <c r="C51" s="7" t="n">
        <f aca="false">Raw_Telemetry!C51</f>
        <v>420000</v>
      </c>
      <c r="D51" s="6" t="n">
        <f aca="false">Raw_Telemetry!D51</f>
        <v>415</v>
      </c>
      <c r="E51" s="6" t="n">
        <f aca="false">Raw_Telemetry!E51</f>
        <v>56</v>
      </c>
      <c r="F51" s="6" t="n">
        <f aca="false">Raw_Telemetry!F51</f>
        <v>-2.9</v>
      </c>
      <c r="G51" s="6" t="n">
        <f aca="false">Raw_Telemetry!G51</f>
        <v>10</v>
      </c>
      <c r="H51" s="6" t="str">
        <f aca="false">Raw_Telemetry!H51</f>
        <v>None</v>
      </c>
      <c r="I51" s="8" t="n">
        <f aca="false">E51</f>
        <v>56</v>
      </c>
      <c r="J51" s="8" t="n">
        <f aca="false">MEDIAN(0,(F51+20)*2.5,100)</f>
        <v>42.75</v>
      </c>
      <c r="K51" s="8" t="n">
        <f aca="false">MAX(0,100-(G51*4))</f>
        <v>60</v>
      </c>
      <c r="L51" s="8" t="n">
        <f aca="false">_xlfn.IFS(H51="Engaged",100,H51="Passive",60,H51="None",25,H51="Champion Departed",10)</f>
        <v>25</v>
      </c>
      <c r="M51" s="9" t="n">
        <f aca="false">ROUND(0.4*I51+0.25*J51+0.2*K51+0.15*L51,1)</f>
        <v>48.8</v>
      </c>
      <c r="N51" s="10" t="str">
        <f aca="false">IF(M51&gt;=72,"Green",IF(M51&gt;=52,"Yellow","Red"))</f>
        <v>Red</v>
      </c>
      <c r="O51" s="11" t="n">
        <f aca="false">IF(AND(N51="Red",OR(H51="None",H51="Champion Departed"),E51&lt;45),C51,0)</f>
        <v>0</v>
      </c>
      <c r="P51" s="11" t="n">
        <f aca="false">IF(AND(N51="Red",O51=0),C51*0.15,0)</f>
        <v>63000</v>
      </c>
      <c r="Q51" s="11" t="n">
        <f aca="false">IF(N51="Green",C51*0.18,0)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12" t="s">
        <v>121</v>
      </c>
    </row>
    <row r="3" customFormat="false" ht="15" hidden="false" customHeight="true" outlineLevel="0" collapsed="false">
      <c r="A3" s="10" t="s">
        <v>122</v>
      </c>
      <c r="B3" s="13" t="n">
        <f aca="false">SUM(Health_Model!C2:C51)</f>
        <v>10126000</v>
      </c>
    </row>
    <row r="4" customFormat="false" ht="15" hidden="false" customHeight="true" outlineLevel="0" collapsed="false">
      <c r="A4" s="3" t="s">
        <v>123</v>
      </c>
      <c r="B4" s="11" t="n">
        <f aca="false">SUM(Health_Model!O2:O51)</f>
        <v>856000</v>
      </c>
    </row>
    <row r="5" customFormat="false" ht="15" hidden="false" customHeight="true" outlineLevel="0" collapsed="false">
      <c r="A5" s="3" t="s">
        <v>124</v>
      </c>
      <c r="B5" s="11" t="n">
        <f aca="false">SUM(Health_Model!P2:P51)</f>
        <v>307650</v>
      </c>
    </row>
    <row r="6" customFormat="false" ht="15" hidden="false" customHeight="true" outlineLevel="0" collapsed="false">
      <c r="A6" s="3" t="s">
        <v>125</v>
      </c>
      <c r="B6" s="11" t="n">
        <f aca="false">SUM(Health_Model!Q2:Q51)</f>
        <v>870480</v>
      </c>
    </row>
    <row r="7" customFormat="false" ht="15" hidden="false" customHeight="true" outlineLevel="0" collapsed="false">
      <c r="A7" s="10" t="s">
        <v>126</v>
      </c>
      <c r="B7" s="13" t="n">
        <f aca="false">B3-B4-B5+B6</f>
        <v>9832830</v>
      </c>
    </row>
    <row r="8" customFormat="false" ht="15" hidden="false" customHeight="true" outlineLevel="0" collapsed="false">
      <c r="A8" s="10" t="s">
        <v>127</v>
      </c>
      <c r="B8" s="14" t="n">
        <f aca="false">IFERROR(B7/B3,"n/a")</f>
        <v>0.971047797748371</v>
      </c>
    </row>
    <row r="9" customFormat="false" ht="15" hidden="false" customHeight="true" outlineLevel="0" collapsed="false">
      <c r="A9" s="3" t="s">
        <v>128</v>
      </c>
      <c r="B9" s="15" t="n">
        <f aca="false">IFERROR((B3-B4-B5)/B3,"n/a")</f>
        <v>0.885082954769899</v>
      </c>
    </row>
    <row r="11" customFormat="false" ht="15" hidden="false" customHeight="true" outlineLevel="0" collapsed="false">
      <c r="A11" s="10" t="s">
        <v>129</v>
      </c>
    </row>
    <row r="12" customFormat="false" ht="15" hidden="false" customHeight="true" outlineLevel="0" collapsed="false">
      <c r="A12" s="3" t="s">
        <v>130</v>
      </c>
      <c r="B12" s="11" t="n">
        <f aca="false">SUMIF(Health_Model!N2:N51,"Green",Health_Model!C2:C51)</f>
        <v>4836000</v>
      </c>
    </row>
    <row r="13" customFormat="false" ht="15" hidden="false" customHeight="true" outlineLevel="0" collapsed="false">
      <c r="A13" s="3" t="s">
        <v>131</v>
      </c>
      <c r="B13" s="11" t="n">
        <f aca="false">SUMIF(Health_Model!N2:N51,"Yellow",Health_Model!C2:C51)</f>
        <v>2383000</v>
      </c>
    </row>
    <row r="14" customFormat="false" ht="15" hidden="false" customHeight="true" outlineLevel="0" collapsed="false">
      <c r="A14" s="3" t="s">
        <v>132</v>
      </c>
      <c r="B14" s="11" t="n">
        <f aca="false">SUMIF(Health_Model!N2:N51,"Red",Health_Model!C2:C51)</f>
        <v>2907000</v>
      </c>
    </row>
    <row r="15" customFormat="false" ht="15" hidden="false" customHeight="true" outlineLevel="0" collapsed="false">
      <c r="A15" s="3" t="s">
        <v>133</v>
      </c>
      <c r="B15" s="16" t="n">
        <f aca="false">COUNTIF(Health_Model!N2:N51,"Green")</f>
        <v>22</v>
      </c>
    </row>
    <row r="16" customFormat="false" ht="15" hidden="false" customHeight="true" outlineLevel="0" collapsed="false">
      <c r="A16" s="3" t="s">
        <v>134</v>
      </c>
      <c r="B16" s="16" t="n">
        <f aca="false">COUNTIF(Health_Model!N2:N51,"Yellow")</f>
        <v>16</v>
      </c>
    </row>
    <row r="17" customFormat="false" ht="15" hidden="false" customHeight="true" outlineLevel="0" collapsed="false">
      <c r="A17" s="3" t="s">
        <v>135</v>
      </c>
      <c r="B17" s="16" t="n">
        <f aca="false">COUNTIF(Health_Model!N2:N51,"Red")</f>
        <v>12</v>
      </c>
    </row>
    <row r="19" customFormat="false" ht="15" hidden="false" customHeight="true" outlineLevel="0" collapsed="false">
      <c r="A19" s="10" t="s">
        <v>136</v>
      </c>
    </row>
    <row r="20" customFormat="false" ht="15" hidden="false" customHeight="true" outlineLevel="0" collapsed="false">
      <c r="A20" s="3" t="s">
        <v>137</v>
      </c>
      <c r="B20" s="17" t="n">
        <f aca="false">AVERAGEIF(Health_Model!H2:H51,"Engaged",Health_Model!E2:E51)</f>
        <v>80.2173913043478</v>
      </c>
    </row>
    <row r="21" customFormat="false" ht="15" hidden="false" customHeight="true" outlineLevel="0" collapsed="false">
      <c r="A21" s="3" t="s">
        <v>138</v>
      </c>
      <c r="B21" s="17" t="n">
        <f aca="false">AVERAGEIF(Health_Model!H2:H51,"&lt;&gt;Engaged",Health_Model!E2:E51)</f>
        <v>58.6666666666667</v>
      </c>
    </row>
    <row r="22" customFormat="false" ht="15" hidden="false" customHeight="true" outlineLevel="0" collapsed="false">
      <c r="A22" s="10" t="s">
        <v>139</v>
      </c>
      <c r="B22" s="18" t="n">
        <f aca="false">B20-B21</f>
        <v>21.5507246376812</v>
      </c>
    </row>
    <row r="23" customFormat="false" ht="15" hidden="false" customHeight="true" outlineLevel="0" collapsed="false">
      <c r="A23" s="3" t="s">
        <v>140</v>
      </c>
      <c r="B23" s="11" t="n">
        <f aca="false">SUMIF(Health_Model!E2:E51,"&lt;70",Health_Model!C2:C51)</f>
        <v>4377000</v>
      </c>
    </row>
    <row r="24" customFormat="false" ht="15" hidden="false" customHeight="true" outlineLevel="0" collapsed="false">
      <c r="A24" s="3" t="s">
        <v>141</v>
      </c>
      <c r="B24" s="16" t="n">
        <f aca="false">COUNTIF(Health_Model!E2:E51,"&lt;70")</f>
        <v>22</v>
      </c>
    </row>
    <row r="25" customFormat="false" ht="15" hidden="false" customHeight="true" outlineLevel="0" collapsed="false">
      <c r="A25" s="3" t="s">
        <v>142</v>
      </c>
      <c r="B25" s="15" t="n">
        <f aca="false">COUNTIF(Health_Model!O2:O51,"&gt;0")/COUNTA(Health_Model!A2:A51)</f>
        <v>0.08</v>
      </c>
    </row>
    <row r="27" customFormat="false" ht="15" hidden="false" customHeight="true" outlineLevel="0" collapsed="false">
      <c r="A27" s="1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2026-09-27T06:00:36Z</dcterms:created>
  <dc:creator>openpyxl</dc:creator>
  <dc:description/>
  <dc:language>en-US</dc:language>
  <cp:lastModifiedBy/>
  <dcterms:modified xsi:type="dcterms:W3CDTF">2026-09-27T06:04:27Z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